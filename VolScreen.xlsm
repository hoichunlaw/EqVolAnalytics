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\EqVolAnalytics\"/>
    </mc:Choice>
  </mc:AlternateContent>
  <xr:revisionPtr revIDLastSave="0" documentId="13_ncr:1_{CEB35C4F-92BC-44CF-A239-46604BBD04B0}" xr6:coauthVersionLast="47" xr6:coauthVersionMax="47" xr10:uidLastSave="{00000000-0000-0000-0000-000000000000}"/>
  <bookViews>
    <workbookView xWindow="25695" yWindow="0" windowWidth="26010" windowHeight="20985" xr2:uid="{F7462C2D-ABD8-4D1D-88EA-4CC70B947BDD}"/>
  </bookViews>
  <sheets>
    <sheet name="VolScreen" sheetId="1" r:id="rId1"/>
    <sheet name="Skew" sheetId="3" r:id="rId2"/>
    <sheet name="Setting" sheetId="2" r:id="rId3"/>
  </sheets>
  <functionGroups builtInGroupCount="19"/>
  <definedNames>
    <definedName name="RngRefresh">VolScreen!$B$6</definedName>
    <definedName name="RngSkew">VolScreen!$AF$8</definedName>
    <definedName name="RngSkewChg">VolScreen!$AU$8</definedName>
    <definedName name="RngTable">VolScreen!$B$8</definedName>
    <definedName name="RngTableDates">VolScreen!$B$2</definedName>
    <definedName name="RngVol">VolScreen!$G$8</definedName>
    <definedName name="RngVolChg">VolScreen!$V$8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F1" i="3"/>
  <c r="B7" i="3"/>
  <c r="B6" i="3"/>
  <c r="BK11" i="1"/>
  <c r="BK10" i="1"/>
  <c r="BK9" i="1"/>
  <c r="BJ11" i="1"/>
  <c r="BJ10" i="1"/>
  <c r="BJ9" i="1"/>
  <c r="BI11" i="1"/>
  <c r="BI10" i="1"/>
  <c r="BI9" i="1"/>
  <c r="BH11" i="1"/>
  <c r="BH10" i="1"/>
  <c r="BH9" i="1"/>
  <c r="BG11" i="1"/>
  <c r="BG10" i="1"/>
  <c r="AU10" i="1"/>
  <c r="BD11" i="1"/>
  <c r="BC11" i="1"/>
  <c r="BB11" i="1"/>
  <c r="BA11" i="1"/>
  <c r="AZ11" i="1"/>
  <c r="AY11" i="1"/>
  <c r="AX11" i="1"/>
  <c r="AW11" i="1"/>
  <c r="AV11" i="1"/>
  <c r="AU11" i="1"/>
  <c r="BD10" i="1"/>
  <c r="BC10" i="1"/>
  <c r="BB10" i="1"/>
  <c r="BA10" i="1"/>
  <c r="AZ10" i="1"/>
  <c r="AY10" i="1"/>
  <c r="AX10" i="1"/>
  <c r="AW10" i="1"/>
  <c r="AV10" i="1"/>
  <c r="BD9" i="1"/>
  <c r="BC9" i="1"/>
  <c r="BB9" i="1"/>
  <c r="BA9" i="1"/>
  <c r="AZ9" i="1"/>
  <c r="AY9" i="1"/>
  <c r="AX9" i="1"/>
  <c r="AW9" i="1"/>
  <c r="AV9" i="1"/>
  <c r="AU9" i="1"/>
  <c r="V11" i="1"/>
  <c r="W11" i="1"/>
  <c r="X11" i="1"/>
  <c r="Y11" i="1"/>
  <c r="Z11" i="1"/>
  <c r="AE10" i="1"/>
  <c r="AD10" i="1"/>
  <c r="AC10" i="1"/>
  <c r="AB10" i="1"/>
  <c r="AA10" i="1"/>
  <c r="Z10" i="1"/>
  <c r="Y10" i="1"/>
  <c r="X10" i="1"/>
  <c r="W10" i="1"/>
  <c r="V10" i="1"/>
  <c r="AE9" i="1"/>
  <c r="AD9" i="1"/>
  <c r="AC9" i="1"/>
  <c r="AB9" i="1"/>
  <c r="Z9" i="1"/>
  <c r="Y9" i="1"/>
  <c r="X9" i="1"/>
  <c r="W9" i="1"/>
  <c r="AA11" i="1"/>
  <c r="AB11" i="1"/>
  <c r="AC11" i="1"/>
  <c r="AD11" i="1"/>
  <c r="AE11" i="1"/>
  <c r="G2" i="3" a="1"/>
  <c r="F2" i="3" a="1"/>
  <c r="C4" i="1" l="1"/>
  <c r="F2" i="3"/>
  <c r="G2" i="3"/>
  <c r="C3" i="1"/>
  <c r="BG9" i="1" l="1"/>
  <c r="AA9" i="1"/>
  <c r="V9" i="1"/>
  <c r="H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<sst xmlns="http://schemas.openxmlformats.org/spreadsheetml/2006/main" count="101" uniqueCount="38">
  <si>
    <t>undlName</t>
  </si>
  <si>
    <t>.SPX</t>
  </si>
  <si>
    <t>QQQ.P</t>
  </si>
  <si>
    <t>IWM.P</t>
  </si>
  <si>
    <t>Vol</t>
  </si>
  <si>
    <t>1M</t>
  </si>
  <si>
    <t>3M</t>
  </si>
  <si>
    <t>6M</t>
  </si>
  <si>
    <t>12M</t>
  </si>
  <si>
    <t>24M</t>
  </si>
  <si>
    <t>Vol T-1</t>
  </si>
  <si>
    <t>2M</t>
  </si>
  <si>
    <t>Spot</t>
  </si>
  <si>
    <t>Spot T-1</t>
  </si>
  <si>
    <t>Spot T-7</t>
  </si>
  <si>
    <t>Ref Date</t>
  </si>
  <si>
    <t>Vol T-7</t>
  </si>
  <si>
    <t>Vol Change 7D</t>
  </si>
  <si>
    <t>Refresh</t>
  </si>
  <si>
    <t>Category</t>
  </si>
  <si>
    <t>US Index</t>
  </si>
  <si>
    <t>Skew T-1 (90% - 110%)</t>
  </si>
  <si>
    <t>Skew T-7 (90% - 110%)</t>
  </si>
  <si>
    <t>Skew Change 7D</t>
  </si>
  <si>
    <t>ETH</t>
  </si>
  <si>
    <t>BTC</t>
  </si>
  <si>
    <t>Crypto</t>
  </si>
  <si>
    <t>Vol Change 30D</t>
  </si>
  <si>
    <t>Skew</t>
  </si>
  <si>
    <t>Skew Change 30D</t>
  </si>
  <si>
    <t>Ref Date 3</t>
  </si>
  <si>
    <t>Ref Date 2</t>
  </si>
  <si>
    <t>HighLight Table</t>
  </si>
  <si>
    <t>Lower</t>
  </si>
  <si>
    <t>Upper</t>
  </si>
  <si>
    <t>Start</t>
  </si>
  <si>
    <t>End</t>
  </si>
  <si>
    <t>Tenor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</si>
</sst>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375623"/>
      <name val="Calibri"/>
      <family val="2"/>
      <scheme val="minor"/>
    </font>
    <font>
      <sz val="11"/>
      <color rgb="FFC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2" fillId="2" borderId="4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0" fillId="3" borderId="0" xfId="0" applyFill="1"/>
    <xf numFmtId="15" fontId="0" fillId="3" borderId="1" xfId="0" applyNumberFormat="1" applyFill="1" applyBorder="1"/>
    <xf numFmtId="15" fontId="0" fillId="3" borderId="0" xfId="0" applyNumberFormat="1" applyFill="1"/>
    <xf numFmtId="0" fontId="3" fillId="3" borderId="0" xfId="0" applyFont="1" applyFill="1"/>
    <xf numFmtId="15" fontId="3" fillId="3" borderId="0" xfId="0" applyNumberFormat="1" applyFont="1" applyFill="1"/>
    <xf numFmtId="0" fontId="0" fillId="3" borderId="2" xfId="0" applyFill="1" applyBorder="1"/>
    <xf numFmtId="43" fontId="0" fillId="3" borderId="0" xfId="1" applyFont="1" applyFill="1" applyBorder="1"/>
    <xf numFmtId="164" fontId="0" fillId="3" borderId="0" xfId="2" applyNumberFormat="1" applyFont="1" applyFill="1" applyBorder="1"/>
    <xf numFmtId="164" fontId="0" fillId="3" borderId="0" xfId="0" applyNumberFormat="1" applyFill="1"/>
    <xf numFmtId="164" fontId="0" fillId="3" borderId="3" xfId="0" applyNumberFormat="1" applyFill="1" applyBorder="1"/>
    <xf numFmtId="0" fontId="0" fillId="3" borderId="3" xfId="0" applyFill="1" applyBorder="1"/>
    <xf numFmtId="0" fontId="2" fillId="2" borderId="1" xfId="0" applyFont="1" applyFill="1" applyBorder="1"/>
    <xf numFmtId="0" fontId="0" fillId="4" borderId="2" xfId="0" applyFill="1" applyBorder="1"/>
    <xf numFmtId="43" fontId="0" fillId="4" borderId="0" xfId="1" applyFont="1" applyFill="1" applyBorder="1"/>
    <xf numFmtId="164" fontId="0" fillId="4" borderId="0" xfId="2" applyNumberFormat="1" applyFont="1" applyFill="1" applyBorder="1"/>
    <xf numFmtId="164" fontId="0" fillId="4" borderId="0" xfId="0" applyNumberFormat="1" applyFill="1"/>
    <xf numFmtId="164" fontId="0" fillId="4" borderId="3" xfId="0" applyNumberFormat="1" applyFill="1" applyBorder="1"/>
    <xf numFmtId="0" fontId="3" fillId="5" borderId="1" xfId="0" applyFont="1" applyFill="1" applyBorder="1"/>
    <xf numFmtId="0" fontId="2" fillId="2" borderId="5" xfId="0" applyFont="1" applyFill="1" applyBorder="1" applyAlignment="1">
      <alignment horizontal="centerContinuous"/>
    </xf>
    <xf numFmtId="0" fontId="2" fillId="2" borderId="6" xfId="0" applyFont="1" applyFill="1" applyBorder="1" applyAlignment="1">
      <alignment horizontal="centerContinuous"/>
    </xf>
    <xf numFmtId="0" fontId="2" fillId="2" borderId="4" xfId="0" applyFont="1" applyFill="1" applyBorder="1" applyAlignment="1">
      <alignment horizontal="centerContinuous"/>
    </xf>
    <xf numFmtId="164" fontId="0" fillId="3" borderId="2" xfId="0" applyNumberFormat="1" applyFill="1" applyBorder="1"/>
    <xf numFmtId="164" fontId="0" fillId="4" borderId="2" xfId="0" applyNumberFormat="1" applyFill="1" applyBorder="1"/>
    <xf numFmtId="164" fontId="1" fillId="3" borderId="0" xfId="2" applyNumberFormat="1" applyFont="1" applyFill="1" applyBorder="1"/>
    <xf numFmtId="164" fontId="1" fillId="4" borderId="0" xfId="2" applyNumberFormat="1" applyFont="1" applyFill="1" applyBorder="1"/>
    <xf numFmtId="164" fontId="1" fillId="3" borderId="2" xfId="2" applyNumberFormat="1" applyFont="1" applyFill="1" applyBorder="1"/>
    <xf numFmtId="164" fontId="1" fillId="3" borderId="3" xfId="2" applyNumberFormat="1" applyFont="1" applyFill="1" applyBorder="1"/>
    <xf numFmtId="164" fontId="1" fillId="4" borderId="2" xfId="2" applyNumberFormat="1" applyFont="1" applyFill="1" applyBorder="1"/>
    <xf numFmtId="164" fontId="1" fillId="4" borderId="3" xfId="2" applyNumberFormat="1" applyFont="1" applyFill="1" applyBorder="1"/>
    <xf numFmtId="0" fontId="0" fillId="4" borderId="0" xfId="0" applyFill="1"/>
    <xf numFmtId="15" fontId="0" fillId="0" borderId="0" xfId="0" applyNumberFormat="1"/>
    <xf numFmtId="10" fontId="0" fillId="3" borderId="0" xfId="2" applyNumberFormat="1" applyFont="1" applyFill="1"/>
    <xf numFmtId="0" fontId="4" fillId="6" borderId="2" xfId="0" applyFont="1" applyFill="1" applyBorder="1"/>
    <xf numFmtId="0" fontId="5" fillId="6" borderId="0" xfId="0" applyFont="1" applyFill="1"/>
    <xf numFmtId="2" fontId="5" fillId="6" borderId="0" xfId="1" applyNumberFormat="1" applyFont="1" applyFill="1" applyBorder="1"/>
    <xf numFmtId="164" fontId="5" fillId="6" borderId="2" xfId="2" applyNumberFormat="1" applyFont="1" applyFill="1" applyBorder="1"/>
    <xf numFmtId="164" fontId="5" fillId="6" borderId="0" xfId="2" applyNumberFormat="1" applyFont="1" applyFill="1" applyBorder="1"/>
    <xf numFmtId="164" fontId="5" fillId="6" borderId="3" xfId="2" applyNumberFormat="1" applyFont="1" applyFill="1" applyBorder="1"/>
    <xf numFmtId="164" fontId="5" fillId="6" borderId="2" xfId="0" applyNumberFormat="1" applyFont="1" applyFill="1" applyBorder="1"/>
    <xf numFmtId="164" fontId="5" fillId="6" borderId="0" xfId="0" applyNumberFormat="1" applyFont="1" applyFill="1"/>
    <xf numFmtId="164" fontId="5" fillId="6" borderId="3" xfId="0" applyNumberFormat="1" applyFont="1" applyFill="1" applyBorder="1"/>
    <xf numFmtId="0" fontId="4" fillId="7" borderId="2" xfId="0" applyFont="1" applyFill="1" applyBorder="1"/>
    <xf numFmtId="0" fontId="5" fillId="7" borderId="0" xfId="0" applyFont="1" applyFill="1"/>
    <xf numFmtId="2" fontId="5" fillId="7" borderId="0" xfId="1" applyNumberFormat="1" applyFont="1" applyFill="1" applyBorder="1"/>
    <xf numFmtId="164" fontId="5" fillId="7" borderId="2" xfId="2" applyNumberFormat="1" applyFont="1" applyFill="1" applyBorder="1"/>
    <xf numFmtId="164" fontId="5" fillId="7" borderId="0" xfId="2" applyNumberFormat="1" applyFont="1" applyFill="1" applyBorder="1"/>
    <xf numFmtId="164" fontId="5" fillId="7" borderId="3" xfId="2" applyNumberFormat="1" applyFont="1" applyFill="1" applyBorder="1"/>
    <xf numFmtId="164" fontId="5" fillId="7" borderId="2" xfId="0" applyNumberFormat="1" applyFont="1" applyFill="1" applyBorder="1"/>
    <xf numFmtId="164" fontId="5" fillId="7" borderId="0" xfId="0" applyNumberFormat="1" applyFont="1" applyFill="1"/>
    <xf numFmtId="164" fontId="5" fillId="7" borderId="3" xfId="0" applyNumberFormat="1" applyFont="1" applyFill="1" applyBorder="1"/>
    <xf numFmtId="9" fontId="6" fillId="9" borderId="0" xfId="0" applyNumberFormat="1" applyFont="1" applyFill="1"/>
    <xf numFmtId="164" fontId="7" fillId="10" borderId="3" xfId="0" applyNumberFormat="1" applyFont="1" applyFill="1" applyBorder="1"/>
    <xf numFmtId="164" fontId="7" fillId="10" borderId="0" xfId="0" applyNumberFormat="1" applyFont="1" applyFill="1"/>
    <xf numFmtId="9" fontId="8" fillId="8" borderId="0" xfId="0" applyNumberFormat="1" applyFont="1" applyFill="1"/>
    <xf numFmtId="164" fontId="8" fillId="11" borderId="0" xfId="0" applyNumberFormat="1" applyFont="1" applyFill="1"/>
    <xf numFmtId="164" fontId="8" fillId="11" borderId="3" xfId="0" applyNumberFormat="1" applyFont="1" applyFill="1" applyBorder="1"/>
    <xf numFmtId="0" fontId="0" fillId="3" borderId="1" xfId="0" applyFill="1" applyBorder="1"/>
    <xf numFmtId="2" fontId="0" fillId="0" borderId="0" xfId="0" applyNumberFormat="1"/>
    <xf numFmtId="43" fontId="5" fillId="6" borderId="0" xfId="1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Skew!$H$1</c:f>
              <c:strCache>
                <c:ptCount val="1"/>
                <c:pt idx="0">
                  <c:v>Skew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Skew!$H$2:$H$29</c:f>
              <c:numCache>
                <c:formatCode>General</c:formatCode>
                <c:ptCount val="28"/>
                <c:pt idx="0">
                  <c:v>6.2280744647329994E-2</c:v>
                </c:pt>
                <c:pt idx="1">
                  <c:v>5.7233488419823814E-2</c:v>
                </c:pt>
                <c:pt idx="2">
                  <c:v>5.8401092123897269E-2</c:v>
                </c:pt>
                <c:pt idx="3">
                  <c:v>6.9819647857634365E-2</c:v>
                </c:pt>
                <c:pt idx="4">
                  <c:v>7.1702805136198422E-2</c:v>
                </c:pt>
                <c:pt idx="5">
                  <c:v>7.0877999576303419E-2</c:v>
                </c:pt>
                <c:pt idx="6">
                  <c:v>7.1135134274684042E-2</c:v>
                </c:pt>
                <c:pt idx="7">
                  <c:v>6.0051676783903329E-2</c:v>
                </c:pt>
                <c:pt idx="8">
                  <c:v>6.6256798349902057E-2</c:v>
                </c:pt>
                <c:pt idx="9">
                  <c:v>6.2963968591119746E-2</c:v>
                </c:pt>
                <c:pt idx="10">
                  <c:v>6.3028792599818056E-2</c:v>
                </c:pt>
                <c:pt idx="11">
                  <c:v>5.8127516662354023E-2</c:v>
                </c:pt>
                <c:pt idx="12">
                  <c:v>5.5797541675749796E-2</c:v>
                </c:pt>
                <c:pt idx="13">
                  <c:v>5.1777681035167611E-2</c:v>
                </c:pt>
                <c:pt idx="14">
                  <c:v>4.875023001161409E-2</c:v>
                </c:pt>
                <c:pt idx="15">
                  <c:v>5.0684739313738625E-2</c:v>
                </c:pt>
                <c:pt idx="16">
                  <c:v>4.6884429724389526E-2</c:v>
                </c:pt>
                <c:pt idx="17">
                  <c:v>4.5992703184382269E-2</c:v>
                </c:pt>
                <c:pt idx="18">
                  <c:v>4.4446127908145616E-2</c:v>
                </c:pt>
                <c:pt idx="19">
                  <c:v>4.809818439117805E-2</c:v>
                </c:pt>
                <c:pt idx="20">
                  <c:v>4.2999359480891439E-2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3-4599-85E9-C3E62F2D8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051344"/>
        <c:axId val="1466468576"/>
      </c:lineChart>
      <c:catAx>
        <c:axId val="1378051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468576"/>
        <c:crosses val="autoZero"/>
        <c:auto val="1"/>
        <c:lblAlgn val="ctr"/>
        <c:lblOffset val="100"/>
        <c:noMultiLvlLbl val="0"/>
      </c:catAx>
      <c:valAx>
        <c:axId val="146646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5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5</xdr:row>
      <xdr:rowOff>185736</xdr:rowOff>
    </xdr:from>
    <xdr:to>
      <xdr:col>19</xdr:col>
      <xdr:colOff>457200</xdr:colOff>
      <xdr:row>22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C8D74B-55AD-ED8A-1080-8BCB120A54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69A0B-5474-43CF-A1A6-08BBF73CEABD}">
  <sheetPr codeName="SheetVol"/>
  <dimension ref="A2:BK73"/>
  <sheetViews>
    <sheetView tabSelected="1" zoomScaleNormal="100" workbookViewId="0">
      <selection activeCell="B9" sqref="B9"/>
    </sheetView>
  </sheetViews>
  <sheetFormatPr defaultRowHeight="15" x14ac:dyDescent="0.25"/>
  <cols>
    <col min="1" max="1" width="1.28515625" style="6" customWidth="1"/>
    <col min="2" max="3" width="12.85546875" style="6" customWidth="1"/>
    <col min="4" max="6" width="9.5703125" style="6" hidden="1" customWidth="1"/>
    <col min="7" max="11" width="6.85546875" style="6" customWidth="1"/>
    <col min="12" max="21" width="6.85546875" style="6" hidden="1" customWidth="1"/>
    <col min="22" max="36" width="6.85546875" style="6" customWidth="1"/>
    <col min="37" max="46" width="6.85546875" style="6" hidden="1" customWidth="1"/>
    <col min="47" max="56" width="6.85546875" style="6" customWidth="1"/>
    <col min="57" max="16384" width="9.140625" style="6"/>
  </cols>
  <sheetData>
    <row r="2" spans="1:63" x14ac:dyDescent="0.25">
      <c r="B2" s="17" t="s">
        <v>15</v>
      </c>
      <c r="C2" s="7">
        <f ca="1">TODAY()</f>
        <v>45243</v>
      </c>
      <c r="H2" s="17" t="s">
        <v>33</v>
      </c>
      <c r="I2" s="62">
        <v>-0.25</v>
      </c>
    </row>
    <row r="3" spans="1:63" x14ac:dyDescent="0.25">
      <c r="B3" s="17" t="s">
        <v>31</v>
      </c>
      <c r="C3" s="7">
        <f ca="1">C2-7</f>
        <v>45236</v>
      </c>
      <c r="H3" s="17" t="s">
        <v>34</v>
      </c>
      <c r="I3" s="62">
        <v>0.25</v>
      </c>
    </row>
    <row r="4" spans="1:63" x14ac:dyDescent="0.25">
      <c r="B4" s="17" t="s">
        <v>30</v>
      </c>
      <c r="C4" s="7">
        <f ca="1">C2-30</f>
        <v>45213</v>
      </c>
    </row>
    <row r="5" spans="1:63" x14ac:dyDescent="0.25">
      <c r="D5" s="8"/>
    </row>
    <row r="6" spans="1:63" x14ac:dyDescent="0.25">
      <c r="B6" s="23" t="s">
        <v>18</v>
      </c>
    </row>
    <row r="7" spans="1:63" s="9" customFormat="1" x14ac:dyDescent="0.25">
      <c r="B7" s="1"/>
      <c r="C7" s="2"/>
      <c r="D7" s="2"/>
      <c r="E7" s="2"/>
      <c r="F7" s="2"/>
      <c r="G7" s="26" t="s">
        <v>4</v>
      </c>
      <c r="H7" s="24"/>
      <c r="I7" s="24"/>
      <c r="J7" s="24"/>
      <c r="K7" s="25"/>
      <c r="L7" s="24" t="s">
        <v>10</v>
      </c>
      <c r="M7" s="24"/>
      <c r="N7" s="24"/>
      <c r="O7" s="24"/>
      <c r="P7" s="24"/>
      <c r="Q7" s="24" t="s">
        <v>16</v>
      </c>
      <c r="R7" s="24"/>
      <c r="S7" s="24"/>
      <c r="T7" s="24"/>
      <c r="U7" s="24"/>
      <c r="V7" s="26" t="s">
        <v>17</v>
      </c>
      <c r="W7" s="24"/>
      <c r="X7" s="24"/>
      <c r="Y7" s="24"/>
      <c r="Z7" s="25"/>
      <c r="AA7" s="24" t="s">
        <v>27</v>
      </c>
      <c r="AB7" s="24"/>
      <c r="AC7" s="24"/>
      <c r="AD7" s="24"/>
      <c r="AE7" s="25"/>
      <c r="AF7" s="24" t="s">
        <v>28</v>
      </c>
      <c r="AG7" s="24"/>
      <c r="AH7" s="24"/>
      <c r="AI7" s="24"/>
      <c r="AJ7" s="25"/>
      <c r="AK7" s="24" t="s">
        <v>21</v>
      </c>
      <c r="AL7" s="24"/>
      <c r="AM7" s="24"/>
      <c r="AN7" s="24"/>
      <c r="AO7" s="25"/>
      <c r="AP7" s="24" t="s">
        <v>22</v>
      </c>
      <c r="AQ7" s="24"/>
      <c r="AR7" s="24"/>
      <c r="AS7" s="24"/>
      <c r="AT7" s="25"/>
      <c r="AU7" s="26" t="s">
        <v>23</v>
      </c>
      <c r="AV7" s="24"/>
      <c r="AW7" s="24"/>
      <c r="AX7" s="24"/>
      <c r="AY7" s="25"/>
      <c r="AZ7" s="24" t="s">
        <v>29</v>
      </c>
      <c r="BA7" s="24"/>
      <c r="BB7" s="24"/>
      <c r="BC7" s="24"/>
      <c r="BD7" s="25"/>
      <c r="BG7" s="9" t="s">
        <v>32</v>
      </c>
    </row>
    <row r="8" spans="1:63" s="9" customFormat="1" x14ac:dyDescent="0.25">
      <c r="A8" s="10"/>
      <c r="B8" s="3" t="s">
        <v>0</v>
      </c>
      <c r="C8" s="4" t="s">
        <v>19</v>
      </c>
      <c r="D8" s="4" t="s">
        <v>12</v>
      </c>
      <c r="E8" s="4" t="s">
        <v>13</v>
      </c>
      <c r="F8" s="4" t="s">
        <v>14</v>
      </c>
      <c r="G8" s="3" t="s">
        <v>5</v>
      </c>
      <c r="H8" s="4" t="s">
        <v>6</v>
      </c>
      <c r="I8" s="4" t="s">
        <v>7</v>
      </c>
      <c r="J8" s="4" t="s">
        <v>8</v>
      </c>
      <c r="K8" s="5" t="s">
        <v>9</v>
      </c>
      <c r="L8" s="4" t="s">
        <v>5</v>
      </c>
      <c r="M8" s="4" t="s">
        <v>6</v>
      </c>
      <c r="N8" s="4" t="s">
        <v>7</v>
      </c>
      <c r="O8" s="4" t="s">
        <v>8</v>
      </c>
      <c r="P8" s="4" t="s">
        <v>9</v>
      </c>
      <c r="Q8" s="4" t="s">
        <v>5</v>
      </c>
      <c r="R8" s="4" t="s">
        <v>6</v>
      </c>
      <c r="S8" s="4" t="s">
        <v>7</v>
      </c>
      <c r="T8" s="4" t="s">
        <v>8</v>
      </c>
      <c r="U8" s="4" t="s">
        <v>9</v>
      </c>
      <c r="V8" s="3" t="s">
        <v>5</v>
      </c>
      <c r="W8" s="4" t="s">
        <v>6</v>
      </c>
      <c r="X8" s="4" t="s">
        <v>7</v>
      </c>
      <c r="Y8" s="4" t="s">
        <v>8</v>
      </c>
      <c r="Z8" s="5" t="s">
        <v>9</v>
      </c>
      <c r="AA8" s="4" t="s">
        <v>5</v>
      </c>
      <c r="AB8" s="4" t="s">
        <v>6</v>
      </c>
      <c r="AC8" s="4" t="s">
        <v>7</v>
      </c>
      <c r="AD8" s="4" t="s">
        <v>8</v>
      </c>
      <c r="AE8" s="5" t="s">
        <v>9</v>
      </c>
      <c r="AF8" s="4" t="s">
        <v>5</v>
      </c>
      <c r="AG8" s="4" t="s">
        <v>6</v>
      </c>
      <c r="AH8" s="4" t="s">
        <v>7</v>
      </c>
      <c r="AI8" s="4" t="s">
        <v>8</v>
      </c>
      <c r="AJ8" s="5" t="s">
        <v>9</v>
      </c>
      <c r="AK8" s="4" t="s">
        <v>5</v>
      </c>
      <c r="AL8" s="4" t="s">
        <v>6</v>
      </c>
      <c r="AM8" s="4" t="s">
        <v>7</v>
      </c>
      <c r="AN8" s="4" t="s">
        <v>8</v>
      </c>
      <c r="AO8" s="5" t="s">
        <v>9</v>
      </c>
      <c r="AP8" s="4" t="s">
        <v>5</v>
      </c>
      <c r="AQ8" s="4" t="s">
        <v>6</v>
      </c>
      <c r="AR8" s="4" t="s">
        <v>7</v>
      </c>
      <c r="AS8" s="4" t="s">
        <v>8</v>
      </c>
      <c r="AT8" s="5" t="s">
        <v>9</v>
      </c>
      <c r="AU8" s="3" t="s">
        <v>5</v>
      </c>
      <c r="AV8" s="4" t="s">
        <v>6</v>
      </c>
      <c r="AW8" s="4" t="s">
        <v>7</v>
      </c>
      <c r="AX8" s="4" t="s">
        <v>8</v>
      </c>
      <c r="AY8" s="5" t="s">
        <v>9</v>
      </c>
      <c r="AZ8" s="4" t="s">
        <v>5</v>
      </c>
      <c r="BA8" s="4" t="s">
        <v>6</v>
      </c>
      <c r="BB8" s="4" t="s">
        <v>7</v>
      </c>
      <c r="BC8" s="4" t="s">
        <v>8</v>
      </c>
      <c r="BD8" s="5" t="s">
        <v>9</v>
      </c>
      <c r="BG8" s="9" t="s">
        <v>5</v>
      </c>
      <c r="BH8" s="9" t="s">
        <v>6</v>
      </c>
      <c r="BI8" s="9" t="s">
        <v>7</v>
      </c>
      <c r="BJ8" s="9" t="s">
        <v>8</v>
      </c>
      <c r="BK8" s="9" t="s">
        <v>9</v>
      </c>
    </row>
    <row r="9" spans="1:63" x14ac:dyDescent="0.25">
      <c r="B9" s="38" t="s">
        <v>24</v>
      </c>
      <c r="C9" s="39" t="s">
        <v>26</v>
      </c>
      <c r="D9" s="40">
        <v>302.79998779296875</v>
      </c>
      <c r="E9" s="40">
        <v>312.60000610351563</v>
      </c>
      <c r="F9" s="40">
        <v>301.20001220703125</v>
      </c>
      <c r="G9" s="41">
        <v>0.30162007917865996</v>
      </c>
      <c r="H9" s="42">
        <v>0.30061343584655714</v>
      </c>
      <c r="I9" s="42">
        <v>0.30657359661210476</v>
      </c>
      <c r="J9" s="42">
        <v>0.30760177748341605</v>
      </c>
      <c r="K9" s="43">
        <v>0.30810206833753429</v>
      </c>
      <c r="L9" s="42">
        <v>0.30875155192431658</v>
      </c>
      <c r="M9" s="42">
        <v>0.29822273092252466</v>
      </c>
      <c r="N9" s="42">
        <v>0.3024646137130147</v>
      </c>
      <c r="O9" s="42">
        <v>0.30333210972353153</v>
      </c>
      <c r="P9" s="42">
        <v>0.30392508527271367</v>
      </c>
      <c r="Q9" s="42">
        <v>0.28236055978747926</v>
      </c>
      <c r="R9" s="42">
        <v>0.28677946445827118</v>
      </c>
      <c r="S9" s="42">
        <v>0.28743935840723134</v>
      </c>
      <c r="T9" s="42">
        <v>0.29269319122751519</v>
      </c>
      <c r="U9" s="42">
        <v>0.2933787704358401</v>
      </c>
      <c r="V9" s="44">
        <f>G9-L9</f>
        <v>-7.1314727456566196E-3</v>
      </c>
      <c r="W9" s="45">
        <f t="shared" ref="W9:W10" si="0">H9-M9</f>
        <v>2.3907049240324829E-3</v>
      </c>
      <c r="X9" s="45">
        <f t="shared" ref="X9:X10" si="1">I9-N9</f>
        <v>4.1089828990900634E-3</v>
      </c>
      <c r="Y9" s="45">
        <f t="shared" ref="Y9:Y10" si="2">J9-O9</f>
        <v>4.2696677598845212E-3</v>
      </c>
      <c r="Z9" s="46">
        <f t="shared" ref="Z9:Z10" si="3">K9-P9</f>
        <v>4.1769830648206163E-3</v>
      </c>
      <c r="AA9" s="45">
        <f t="shared" ref="AA9:AA10" si="4">G9-Q9</f>
        <v>1.9259519391180702E-2</v>
      </c>
      <c r="AB9" s="45">
        <f t="shared" ref="AB9:AB10" si="5">H9-R9</f>
        <v>1.3833971388285959E-2</v>
      </c>
      <c r="AC9" s="45">
        <f t="shared" ref="AC9:AC10" si="6">I9-S9</f>
        <v>1.9134238204873422E-2</v>
      </c>
      <c r="AD9" s="45">
        <f t="shared" ref="AD9:AD10" si="7">J9-T9</f>
        <v>1.4908586255900858E-2</v>
      </c>
      <c r="AE9" s="57">
        <f t="shared" ref="AE9:AE10" si="8">K9-U9</f>
        <v>1.4723297901694188E-2</v>
      </c>
      <c r="AF9" s="45">
        <v>-1.0158259056750607E-2</v>
      </c>
      <c r="AG9" s="45">
        <v>-7.4435443532365753E-3</v>
      </c>
      <c r="AH9" s="45">
        <v>-3.4128675261513308E-4</v>
      </c>
      <c r="AI9" s="45">
        <v>-2.2743409987896479E-4</v>
      </c>
      <c r="AJ9" s="46">
        <v>-3.1403143319813087E-3</v>
      </c>
      <c r="AK9" s="45">
        <v>-1.0386287684157003E-2</v>
      </c>
      <c r="AL9" s="45">
        <v>-9.0918542885744524E-3</v>
      </c>
      <c r="AM9" s="45">
        <v>3.4229479424336962E-3</v>
      </c>
      <c r="AN9" s="45">
        <v>1.2750400840659259E-3</v>
      </c>
      <c r="AO9" s="46">
        <v>-1.9144987229248178E-3</v>
      </c>
      <c r="AP9" s="45">
        <v>2.6146773138395085E-2</v>
      </c>
      <c r="AQ9" s="45">
        <v>1.5635623044596425E-2</v>
      </c>
      <c r="AR9" s="45">
        <v>1.5400341679919993E-2</v>
      </c>
      <c r="AS9" s="45">
        <v>1.3181593267437286E-2</v>
      </c>
      <c r="AT9" s="46">
        <v>8.0843711809801544E-3</v>
      </c>
      <c r="AU9" s="44">
        <f>AF9-AK9</f>
        <v>2.2802862740639585E-4</v>
      </c>
      <c r="AV9" s="45">
        <f t="shared" ref="AV9:AV14" si="9">AG9-AL9</f>
        <v>1.6483099353378772E-3</v>
      </c>
      <c r="AW9" s="45">
        <f t="shared" ref="AW9:AW14" si="10">AH9-AM9</f>
        <v>-3.7642346950488292E-3</v>
      </c>
      <c r="AX9" s="45">
        <f t="shared" ref="AX9:AX14" si="11">AI9-AN9</f>
        <v>-1.5024741839448907E-3</v>
      </c>
      <c r="AY9" s="46">
        <f t="shared" ref="AY9:AY14" si="12">AJ9-AO9</f>
        <v>-1.2258156090564909E-3</v>
      </c>
      <c r="AZ9" s="45">
        <f t="shared" ref="AZ9:AZ12" si="13">AF9-AP9</f>
        <v>-3.6305032195145692E-2</v>
      </c>
      <c r="BA9" s="45">
        <f t="shared" ref="BA9:BA13" si="14">AG9-AQ9</f>
        <v>-2.3079167397833E-2</v>
      </c>
      <c r="BB9" s="45">
        <f t="shared" ref="BB9:BB13" si="15">AH9-AR9</f>
        <v>-1.5741628432535126E-2</v>
      </c>
      <c r="BC9" s="45">
        <f t="shared" ref="BC9:BC13" si="16">AI9-AS9</f>
        <v>-1.3409027367316251E-2</v>
      </c>
      <c r="BD9" s="61">
        <f t="shared" ref="BD9:BD14" si="17">AJ9-AT9</f>
        <v>-1.1224685512961463E-2</v>
      </c>
      <c r="BG9" s="37">
        <f>0.05*G9/SQRT(VLOOKUP(BG$8,Setting!$A:$B,2,0)/365)</f>
        <v>5.2603671718937949E-2</v>
      </c>
      <c r="BH9" s="37">
        <f>0.05*H9/SQRT(VLOOKUP(BH$8,Setting!$A:$B,2,0)/365)</f>
        <v>3.0269383046784774E-2</v>
      </c>
      <c r="BI9" s="37">
        <f>0.05*I9/SQRT(VLOOKUP(BI$8,Setting!$A:$B,2,0)/365)</f>
        <v>2.1828049647244076E-2</v>
      </c>
      <c r="BJ9" s="37">
        <f>0.05*J9/SQRT(VLOOKUP(BJ$8,Setting!$A:$B,2,0)/365)</f>
        <v>1.5486526745381351E-2</v>
      </c>
      <c r="BK9" s="37">
        <f>0.05*K9/SQRT(VLOOKUP(BK$8,Setting!$A:$B,2,0)/365)</f>
        <v>1.096843844089988E-2</v>
      </c>
    </row>
    <row r="10" spans="1:63" x14ac:dyDescent="0.25">
      <c r="B10" s="47" t="s">
        <v>25</v>
      </c>
      <c r="C10" s="48" t="s">
        <v>26</v>
      </c>
      <c r="D10" s="49">
        <v>79.599998474121094</v>
      </c>
      <c r="E10" s="49">
        <v>84.849998474121094</v>
      </c>
      <c r="F10" s="49">
        <v>81.300003051757813</v>
      </c>
      <c r="G10" s="50">
        <v>0.35567845192673209</v>
      </c>
      <c r="H10" s="51">
        <v>0.34908235227937312</v>
      </c>
      <c r="I10" s="51">
        <v>0.35735073359442276</v>
      </c>
      <c r="J10" s="51">
        <v>0.36429698440625924</v>
      </c>
      <c r="K10" s="52">
        <v>0.36495211639081859</v>
      </c>
      <c r="L10" s="51">
        <v>0.34608597645015499</v>
      </c>
      <c r="M10" s="51">
        <v>0.34279640199628764</v>
      </c>
      <c r="N10" s="51">
        <v>0.35666348732654468</v>
      </c>
      <c r="O10" s="51">
        <v>0.36694753511738226</v>
      </c>
      <c r="P10" s="51">
        <v>0.36765964564180587</v>
      </c>
      <c r="Q10" s="51">
        <v>0.35705635076188913</v>
      </c>
      <c r="R10" s="51">
        <v>0.36396918148508411</v>
      </c>
      <c r="S10" s="51">
        <v>0.36810484077258743</v>
      </c>
      <c r="T10" s="51">
        <v>0.37316498332490222</v>
      </c>
      <c r="U10" s="51">
        <v>0.37373716072871327</v>
      </c>
      <c r="V10" s="53">
        <f t="shared" ref="V10" si="18">G10-L10</f>
        <v>9.5924754765771003E-3</v>
      </c>
      <c r="W10" s="54">
        <f t="shared" si="0"/>
        <v>6.2859502830854841E-3</v>
      </c>
      <c r="X10" s="54">
        <f t="shared" si="1"/>
        <v>6.8724626787808329E-4</v>
      </c>
      <c r="Y10" s="54">
        <f t="shared" si="2"/>
        <v>-2.6505507111230231E-3</v>
      </c>
      <c r="Z10" s="55">
        <f t="shared" si="3"/>
        <v>-2.7075292509872728E-3</v>
      </c>
      <c r="AA10" s="54">
        <f t="shared" si="4"/>
        <v>-1.3778988351570431E-3</v>
      </c>
      <c r="AB10" s="54">
        <f t="shared" si="5"/>
        <v>-1.4886829205710994E-2</v>
      </c>
      <c r="AC10" s="54">
        <f t="shared" si="6"/>
        <v>-1.0754107178164662E-2</v>
      </c>
      <c r="AD10" s="54">
        <f t="shared" si="7"/>
        <v>-8.8679989186429831E-3</v>
      </c>
      <c r="AE10" s="55">
        <f t="shared" si="8"/>
        <v>-8.7850443378946763E-3</v>
      </c>
      <c r="AF10" s="54">
        <v>-1.7999163957274633E-3</v>
      </c>
      <c r="AG10" s="54">
        <v>4.2405820281772311E-3</v>
      </c>
      <c r="AH10" s="54">
        <v>5.4217567236753417E-3</v>
      </c>
      <c r="AI10" s="54">
        <v>1.7098464049258855E-4</v>
      </c>
      <c r="AJ10" s="55">
        <v>-3.9467895536804964E-3</v>
      </c>
      <c r="AK10" s="54">
        <v>-1.090567561535094E-2</v>
      </c>
      <c r="AL10" s="54">
        <v>-3.225460627436505E-3</v>
      </c>
      <c r="AM10" s="54">
        <v>7.9466444420495108E-4</v>
      </c>
      <c r="AN10" s="54">
        <v>1.8823097952147538E-3</v>
      </c>
      <c r="AO10" s="55">
        <v>-1.6462449975390148E-3</v>
      </c>
      <c r="AP10" s="54">
        <v>1.2743355357875852E-2</v>
      </c>
      <c r="AQ10" s="54">
        <v>1.0790370532827831E-2</v>
      </c>
      <c r="AR10" s="54">
        <v>1.2021263421662265E-2</v>
      </c>
      <c r="AS10" s="54">
        <v>8.5080795691563349E-3</v>
      </c>
      <c r="AT10" s="55">
        <v>3.842447059992371E-3</v>
      </c>
      <c r="AU10" s="53">
        <f t="shared" ref="AU10" si="19">AF10-AK10</f>
        <v>9.1057592196234771E-3</v>
      </c>
      <c r="AV10" s="54">
        <f t="shared" si="9"/>
        <v>7.466042655613736E-3</v>
      </c>
      <c r="AW10" s="54">
        <f t="shared" si="10"/>
        <v>4.6270922794703906E-3</v>
      </c>
      <c r="AX10" s="54">
        <f t="shared" si="11"/>
        <v>-1.7113251547221653E-3</v>
      </c>
      <c r="AY10" s="55">
        <f t="shared" si="12"/>
        <v>-2.3005445561414817E-3</v>
      </c>
      <c r="AZ10" s="54">
        <f t="shared" si="13"/>
        <v>-1.4543271753603315E-2</v>
      </c>
      <c r="BA10" s="54">
        <f t="shared" si="14"/>
        <v>-6.5497885046505999E-3</v>
      </c>
      <c r="BB10" s="54">
        <f t="shared" si="15"/>
        <v>-6.5995066979869232E-3</v>
      </c>
      <c r="BC10" s="54">
        <f t="shared" si="16"/>
        <v>-8.3370949286637464E-3</v>
      </c>
      <c r="BD10" s="55">
        <f t="shared" si="17"/>
        <v>-7.7892366136728675E-3</v>
      </c>
      <c r="BG10" s="37">
        <f>0.05*G10/SQRT(VLOOKUP(BG$8,Setting!$A:$B,2,0)/365)</f>
        <v>6.2031654436279407E-2</v>
      </c>
      <c r="BH10" s="37">
        <f>0.05*H10/SQRT(VLOOKUP(BH$8,Setting!$A:$B,2,0)/365)</f>
        <v>3.5149817593018343E-2</v>
      </c>
      <c r="BI10" s="37">
        <f>0.05*I10/SQRT(VLOOKUP(BI$8,Setting!$A:$B,2,0)/365)</f>
        <v>2.5443383385189297E-2</v>
      </c>
      <c r="BJ10" s="37">
        <f>0.05*J10/SQRT(VLOOKUP(BJ$8,Setting!$A:$B,2,0)/365)</f>
        <v>1.8340905044261231E-2</v>
      </c>
      <c r="BK10" s="37">
        <f>0.05*K10/SQRT(VLOOKUP(BK$8,Setting!$A:$B,2,0)/365)</f>
        <v>1.2992301038769642E-2</v>
      </c>
    </row>
    <row r="11" spans="1:63" x14ac:dyDescent="0.25">
      <c r="B11" s="38" t="s">
        <v>1</v>
      </c>
      <c r="C11" s="39" t="s">
        <v>20</v>
      </c>
      <c r="D11" s="40">
        <v>110.69999694824219</v>
      </c>
      <c r="E11" s="40">
        <v>117.19999694824219</v>
      </c>
      <c r="F11" s="40">
        <v>113.69999694824219</v>
      </c>
      <c r="G11" s="41">
        <v>0.42142923129028503</v>
      </c>
      <c r="H11" s="42">
        <v>0.41364247115130887</v>
      </c>
      <c r="I11" s="42">
        <v>0.42098060609423843</v>
      </c>
      <c r="J11" s="42">
        <v>0.42001264790498061</v>
      </c>
      <c r="K11" s="43">
        <v>0.42088593563587684</v>
      </c>
      <c r="L11" s="42">
        <v>0.4380089581191115</v>
      </c>
      <c r="M11" s="42">
        <v>0.41830121252479363</v>
      </c>
      <c r="N11" s="42">
        <v>0.42147466159744601</v>
      </c>
      <c r="O11" s="42">
        <v>0.42031073709751954</v>
      </c>
      <c r="P11" s="42">
        <v>0.42129507421340551</v>
      </c>
      <c r="Q11" s="42">
        <v>0.42707009726828443</v>
      </c>
      <c r="R11" s="42">
        <v>0.42759584259525996</v>
      </c>
      <c r="S11" s="42">
        <v>0.42441329212904655</v>
      </c>
      <c r="T11" s="42">
        <v>0.42170964058993005</v>
      </c>
      <c r="U11" s="42">
        <v>0.4228694815342029</v>
      </c>
      <c r="V11" s="44">
        <f>G11-L11</f>
        <v>-1.6579726828826469E-2</v>
      </c>
      <c r="W11" s="45">
        <f t="shared" ref="W11:Y14" si="20">H11-M11</f>
        <v>-4.6587413734847649E-3</v>
      </c>
      <c r="X11" s="45">
        <f t="shared" si="20"/>
        <v>-4.9405550320757996E-4</v>
      </c>
      <c r="Y11" s="45">
        <f t="shared" si="20"/>
        <v>-2.9808919253893063E-4</v>
      </c>
      <c r="Z11" s="46">
        <f t="shared" ref="Z11:Z14" si="21">K11-P11</f>
        <v>-4.0913857752866711E-4</v>
      </c>
      <c r="AA11" s="45">
        <f t="shared" ref="AA11:AE14" si="22">G11-Q11</f>
        <v>-5.6408659779993986E-3</v>
      </c>
      <c r="AB11" s="45">
        <f t="shared" si="22"/>
        <v>-1.395337144395109E-2</v>
      </c>
      <c r="AC11" s="45">
        <f t="shared" si="22"/>
        <v>-3.432686034808119E-3</v>
      </c>
      <c r="AD11" s="45">
        <f t="shared" si="22"/>
        <v>-1.6969926849494388E-3</v>
      </c>
      <c r="AE11" s="46">
        <f t="shared" si="22"/>
        <v>-1.9835458983260557E-3</v>
      </c>
      <c r="AF11" s="45">
        <v>2.26003072654829E-3</v>
      </c>
      <c r="AG11" s="45">
        <v>5.3713718583854875E-3</v>
      </c>
      <c r="AH11" s="45">
        <v>1.0912748847999254E-2</v>
      </c>
      <c r="AI11" s="45">
        <v>-2.2053063706107823E-3</v>
      </c>
      <c r="AJ11" s="46">
        <v>-1.0690505417377816E-2</v>
      </c>
      <c r="AK11" s="45">
        <v>4.8960942322246459E-3</v>
      </c>
      <c r="AL11" s="45">
        <v>8.2838302198555147E-3</v>
      </c>
      <c r="AM11" s="45">
        <v>7.6352492834819707E-3</v>
      </c>
      <c r="AN11" s="45">
        <v>5.5161268462951552E-3</v>
      </c>
      <c r="AO11" s="46">
        <v>-1.3622573284164941E-3</v>
      </c>
      <c r="AP11" s="45">
        <v>1.2938090884326514E-2</v>
      </c>
      <c r="AQ11" s="45">
        <v>1.6427876907612271E-2</v>
      </c>
      <c r="AR11" s="45">
        <v>1.664975163407012E-2</v>
      </c>
      <c r="AS11" s="45">
        <v>9.7853916073242786E-3</v>
      </c>
      <c r="AT11" s="46">
        <v>1.8234248994715152E-3</v>
      </c>
      <c r="AU11" s="44">
        <f>AF11-AK11</f>
        <v>-2.6360635056763559E-3</v>
      </c>
      <c r="AV11" s="45">
        <f t="shared" si="9"/>
        <v>-2.9124583614700272E-3</v>
      </c>
      <c r="AW11" s="45">
        <f t="shared" si="10"/>
        <v>3.2774995645172833E-3</v>
      </c>
      <c r="AX11" s="45">
        <f t="shared" si="11"/>
        <v>-7.7214332169059374E-3</v>
      </c>
      <c r="AY11" s="46">
        <f t="shared" si="12"/>
        <v>-9.3282480889613217E-3</v>
      </c>
      <c r="AZ11" s="45">
        <f t="shared" si="13"/>
        <v>-1.0678060157778224E-2</v>
      </c>
      <c r="BA11" s="45">
        <f t="shared" si="14"/>
        <v>-1.1056505049226784E-2</v>
      </c>
      <c r="BB11" s="45">
        <f t="shared" si="15"/>
        <v>-5.7370027860708661E-3</v>
      </c>
      <c r="BC11" s="45">
        <f t="shared" si="16"/>
        <v>-1.1990697977935061E-2</v>
      </c>
      <c r="BD11" s="46">
        <f t="shared" si="17"/>
        <v>-1.2513930316849331E-2</v>
      </c>
      <c r="BG11" s="37">
        <f>0.05*G11/SQRT(VLOOKUP(BG$8,Setting!$A:$B,2,0)/365)</f>
        <v>7.3498836668719356E-2</v>
      </c>
      <c r="BH11" s="37">
        <f>0.05*H11/SQRT(VLOOKUP(BH$8,Setting!$A:$B,2,0)/365)</f>
        <v>4.1650508296271101E-2</v>
      </c>
      <c r="BI11" s="37">
        <f>0.05*I11/SQRT(VLOOKUP(BI$8,Setting!$A:$B,2,0)/365)</f>
        <v>2.9973832293126813E-2</v>
      </c>
      <c r="BJ11" s="37">
        <f>0.05*J11/SQRT(VLOOKUP(BJ$8,Setting!$A:$B,2,0)/365)</f>
        <v>2.1145967225529465E-2</v>
      </c>
      <c r="BK11" s="37">
        <f>0.05*K11/SQRT(VLOOKUP(BK$8,Setting!$A:$B,2,0)/365)</f>
        <v>1.4983545876768353E-2</v>
      </c>
    </row>
    <row r="12" spans="1:63" x14ac:dyDescent="0.25">
      <c r="B12" s="47" t="s">
        <v>2</v>
      </c>
      <c r="C12" s="48" t="s">
        <v>20</v>
      </c>
      <c r="D12" s="49"/>
      <c r="E12" s="49"/>
      <c r="F12" s="49"/>
      <c r="G12" s="50"/>
      <c r="H12" s="51"/>
      <c r="I12" s="51"/>
      <c r="J12" s="51"/>
      <c r="K12" s="52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3"/>
      <c r="W12" s="54"/>
      <c r="X12" s="54"/>
      <c r="Y12" s="54"/>
      <c r="Z12" s="55"/>
      <c r="AA12" s="60"/>
      <c r="AB12" s="60"/>
      <c r="AC12" s="60"/>
      <c r="AD12" s="60"/>
      <c r="AE12" s="61"/>
      <c r="AF12" s="54"/>
      <c r="AG12" s="54"/>
      <c r="AH12" s="54"/>
      <c r="AI12" s="54"/>
      <c r="AJ12" s="55"/>
      <c r="AK12" s="54"/>
      <c r="AL12" s="54"/>
      <c r="AM12" s="54"/>
      <c r="AN12" s="54"/>
      <c r="AO12" s="55"/>
      <c r="AP12" s="54"/>
      <c r="AQ12" s="54"/>
      <c r="AR12" s="54"/>
      <c r="AS12" s="54"/>
      <c r="AT12" s="55"/>
      <c r="AU12" s="53"/>
      <c r="AV12" s="54"/>
      <c r="AW12" s="54"/>
      <c r="AX12" s="54"/>
      <c r="AY12" s="55"/>
      <c r="AZ12" s="60"/>
      <c r="BA12" s="60"/>
      <c r="BB12" s="60"/>
      <c r="BC12" s="54"/>
      <c r="BD12" s="61"/>
      <c r="BG12" s="37"/>
      <c r="BH12" s="37"/>
      <c r="BI12" s="37"/>
      <c r="BJ12" s="37"/>
      <c r="BK12" s="37"/>
    </row>
    <row r="13" spans="1:63" x14ac:dyDescent="0.25">
      <c r="B13" s="38" t="s">
        <v>3</v>
      </c>
      <c r="C13" s="39" t="s">
        <v>20</v>
      </c>
      <c r="D13" s="40"/>
      <c r="E13" s="40"/>
      <c r="F13" s="40"/>
      <c r="G13" s="41"/>
      <c r="H13" s="42"/>
      <c r="I13" s="42"/>
      <c r="J13" s="42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4"/>
      <c r="W13" s="45"/>
      <c r="X13" s="60"/>
      <c r="Y13" s="60"/>
      <c r="Z13" s="61"/>
      <c r="AA13" s="58"/>
      <c r="AB13" s="58"/>
      <c r="AC13" s="58"/>
      <c r="AD13" s="58"/>
      <c r="AE13" s="57"/>
      <c r="AF13" s="45"/>
      <c r="AG13" s="45"/>
      <c r="AH13" s="45"/>
      <c r="AI13" s="45"/>
      <c r="AJ13" s="46"/>
      <c r="AK13" s="45"/>
      <c r="AL13" s="45"/>
      <c r="AM13" s="45"/>
      <c r="AN13" s="45"/>
      <c r="AO13" s="46"/>
      <c r="AP13" s="45"/>
      <c r="AQ13" s="45"/>
      <c r="AR13" s="45"/>
      <c r="AS13" s="45"/>
      <c r="AT13" s="46"/>
      <c r="AU13" s="44"/>
      <c r="AV13" s="45"/>
      <c r="AW13" s="45"/>
      <c r="AX13" s="45"/>
      <c r="AY13" s="46"/>
      <c r="AZ13" s="45"/>
      <c r="BA13" s="58"/>
      <c r="BB13" s="58"/>
      <c r="BC13" s="58"/>
      <c r="BD13" s="57"/>
      <c r="BG13" s="37"/>
      <c r="BH13" s="37"/>
      <c r="BI13" s="37"/>
      <c r="BJ13" s="37"/>
      <c r="BK13" s="37"/>
    </row>
    <row r="14" spans="1:63" x14ac:dyDescent="0.25">
      <c r="B14" s="47"/>
      <c r="C14" s="48"/>
      <c r="D14" s="49"/>
      <c r="E14" s="49"/>
      <c r="F14" s="49"/>
      <c r="G14" s="50"/>
      <c r="H14" s="51"/>
      <c r="I14" s="51"/>
      <c r="J14" s="51"/>
      <c r="K14" s="52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3"/>
      <c r="W14" s="54"/>
      <c r="X14" s="54"/>
      <c r="Y14" s="54"/>
      <c r="Z14" s="55"/>
      <c r="AA14" s="60"/>
      <c r="AB14" s="60"/>
      <c r="AC14" s="60"/>
      <c r="AD14" s="60"/>
      <c r="AE14" s="61"/>
      <c r="AF14" s="54"/>
      <c r="AG14" s="54"/>
      <c r="AH14" s="54"/>
      <c r="AI14" s="54"/>
      <c r="AJ14" s="55"/>
      <c r="AK14" s="54"/>
      <c r="AL14" s="54"/>
      <c r="AM14" s="54"/>
      <c r="AN14" s="54"/>
      <c r="AO14" s="55"/>
      <c r="AP14" s="54"/>
      <c r="AQ14" s="54"/>
      <c r="AR14" s="54"/>
      <c r="AS14" s="54"/>
      <c r="AT14" s="55"/>
      <c r="AU14" s="53"/>
      <c r="AV14" s="54"/>
      <c r="AW14" s="54"/>
      <c r="AX14" s="54"/>
      <c r="AY14" s="55"/>
      <c r="AZ14" s="54"/>
      <c r="BA14" s="54"/>
      <c r="BB14" s="54"/>
      <c r="BC14" s="54"/>
      <c r="BD14" s="55"/>
      <c r="BG14" s="37"/>
      <c r="BH14" s="37"/>
      <c r="BI14" s="37"/>
      <c r="BJ14" s="37"/>
      <c r="BK14" s="37"/>
    </row>
    <row r="15" spans="1:63" x14ac:dyDescent="0.25">
      <c r="B15" s="38"/>
      <c r="C15" s="39"/>
      <c r="D15" s="40"/>
      <c r="E15" s="40"/>
      <c r="F15" s="40"/>
      <c r="G15" s="41"/>
      <c r="H15" s="42"/>
      <c r="I15" s="42"/>
      <c r="J15" s="42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27"/>
      <c r="W15" s="14"/>
      <c r="X15" s="14"/>
      <c r="Y15" s="14"/>
      <c r="Z15" s="15"/>
      <c r="AA15" s="14"/>
      <c r="AB15" s="14"/>
      <c r="AC15" s="14"/>
      <c r="AD15" s="14"/>
      <c r="AE15" s="15"/>
      <c r="AF15" s="14"/>
      <c r="AG15" s="14"/>
      <c r="AH15" s="14"/>
      <c r="AI15" s="14"/>
      <c r="AJ15" s="15"/>
      <c r="AK15" s="14"/>
      <c r="AL15" s="14"/>
      <c r="AM15" s="14"/>
      <c r="AN15" s="14"/>
      <c r="AO15" s="15"/>
      <c r="AP15" s="14"/>
      <c r="AQ15" s="14"/>
      <c r="AR15" s="14"/>
      <c r="AS15" s="14"/>
      <c r="AT15" s="15"/>
      <c r="AU15" s="27"/>
      <c r="AV15" s="14"/>
      <c r="AW15" s="14"/>
      <c r="AX15" s="14"/>
      <c r="AY15" s="15"/>
      <c r="AZ15" s="14"/>
      <c r="BA15" s="14"/>
      <c r="BB15" s="14"/>
      <c r="BC15" s="14"/>
      <c r="BD15" s="15"/>
    </row>
    <row r="16" spans="1:63" x14ac:dyDescent="0.25">
      <c r="B16" s="47"/>
      <c r="C16" s="48"/>
      <c r="D16" s="49"/>
      <c r="E16" s="49"/>
      <c r="F16" s="49"/>
      <c r="G16" s="50"/>
      <c r="H16" s="51"/>
      <c r="I16" s="51"/>
      <c r="J16" s="51"/>
      <c r="K16" s="52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28"/>
      <c r="W16" s="21"/>
      <c r="X16" s="21"/>
      <c r="Y16" s="21"/>
      <c r="Z16" s="22"/>
      <c r="AA16" s="21"/>
      <c r="AB16" s="21"/>
      <c r="AC16" s="21"/>
      <c r="AD16" s="21"/>
      <c r="AE16" s="22"/>
      <c r="AF16" s="21"/>
      <c r="AG16" s="21"/>
      <c r="AH16" s="21"/>
      <c r="AI16" s="21"/>
      <c r="AJ16" s="22"/>
      <c r="AK16" s="21"/>
      <c r="AL16" s="21"/>
      <c r="AM16" s="21"/>
      <c r="AN16" s="21"/>
      <c r="AO16" s="22"/>
      <c r="AP16" s="21"/>
      <c r="AQ16" s="21"/>
      <c r="AR16" s="21"/>
      <c r="AS16" s="21"/>
      <c r="AT16" s="22"/>
      <c r="AU16" s="28"/>
      <c r="AV16" s="21"/>
      <c r="AW16" s="21"/>
      <c r="AX16" s="21"/>
      <c r="AY16" s="22"/>
      <c r="AZ16" s="21"/>
      <c r="BA16" s="21"/>
      <c r="BB16" s="21"/>
      <c r="BC16" s="21"/>
      <c r="BD16" s="22"/>
    </row>
    <row r="17" spans="2:56" x14ac:dyDescent="0.25">
      <c r="B17" s="38"/>
      <c r="C17" s="39"/>
      <c r="D17" s="64"/>
      <c r="E17" s="64"/>
      <c r="F17" s="64"/>
      <c r="G17" s="41"/>
      <c r="H17" s="42"/>
      <c r="I17" s="42"/>
      <c r="J17" s="42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27"/>
      <c r="W17" s="14"/>
      <c r="X17" s="14"/>
      <c r="Y17" s="14"/>
      <c r="Z17" s="15"/>
      <c r="AA17" s="14"/>
      <c r="AB17" s="14"/>
      <c r="AC17" s="14"/>
      <c r="AD17" s="14"/>
      <c r="AE17" s="15"/>
      <c r="AF17" s="14"/>
      <c r="AG17" s="14"/>
      <c r="AH17" s="14"/>
      <c r="AI17" s="14"/>
      <c r="AJ17" s="15"/>
      <c r="AK17" s="14"/>
      <c r="AL17" s="14"/>
      <c r="AM17" s="14"/>
      <c r="AN17" s="14"/>
      <c r="AO17" s="15"/>
      <c r="AP17" s="14"/>
      <c r="AQ17" s="14"/>
      <c r="AR17" s="14"/>
      <c r="AS17" s="14"/>
      <c r="AT17" s="15"/>
      <c r="AU17" s="27"/>
      <c r="AV17" s="14"/>
      <c r="AW17" s="14"/>
      <c r="AX17" s="14"/>
      <c r="AY17" s="15"/>
      <c r="AZ17" s="14"/>
      <c r="BA17" s="14"/>
      <c r="BB17" s="14"/>
      <c r="BC17" s="14"/>
      <c r="BD17" s="15"/>
    </row>
    <row r="18" spans="2:56" x14ac:dyDescent="0.25">
      <c r="B18" s="18"/>
      <c r="C18" s="35"/>
      <c r="D18" s="19"/>
      <c r="E18" s="19"/>
      <c r="F18" s="19"/>
      <c r="G18" s="33"/>
      <c r="H18" s="30"/>
      <c r="I18" s="30"/>
      <c r="J18" s="30"/>
      <c r="K18" s="34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8"/>
      <c r="W18" s="21"/>
      <c r="X18" s="21"/>
      <c r="Y18" s="21"/>
      <c r="Z18" s="22"/>
      <c r="AA18" s="21"/>
      <c r="AB18" s="21"/>
      <c r="AC18" s="21"/>
      <c r="AD18" s="21"/>
      <c r="AE18" s="22"/>
      <c r="AF18" s="21"/>
      <c r="AG18" s="21"/>
      <c r="AH18" s="21"/>
      <c r="AI18" s="21"/>
      <c r="AJ18" s="22"/>
      <c r="AK18" s="21"/>
      <c r="AL18" s="21"/>
      <c r="AM18" s="21"/>
      <c r="AN18" s="21"/>
      <c r="AO18" s="22"/>
      <c r="AP18" s="21"/>
      <c r="AQ18" s="21"/>
      <c r="AR18" s="21"/>
      <c r="AS18" s="21"/>
      <c r="AT18" s="22"/>
      <c r="AU18" s="28"/>
      <c r="AV18" s="21"/>
      <c r="AW18" s="21"/>
      <c r="AX18" s="21"/>
      <c r="AY18" s="22"/>
      <c r="AZ18" s="21"/>
      <c r="BA18" s="21"/>
      <c r="BB18" s="21"/>
      <c r="BC18" s="21"/>
      <c r="BD18" s="22"/>
    </row>
    <row r="19" spans="2:56" x14ac:dyDescent="0.25">
      <c r="B19" s="11"/>
      <c r="D19" s="12"/>
      <c r="E19" s="12"/>
      <c r="F19" s="12"/>
      <c r="G19" s="31"/>
      <c r="H19" s="29"/>
      <c r="I19" s="29"/>
      <c r="J19" s="29"/>
      <c r="K19" s="32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27"/>
      <c r="W19" s="14"/>
      <c r="X19" s="14"/>
      <c r="Y19" s="14"/>
      <c r="Z19" s="15"/>
      <c r="AA19" s="14"/>
      <c r="AB19" s="14"/>
      <c r="AC19" s="14"/>
      <c r="AD19" s="14"/>
      <c r="AE19" s="15"/>
      <c r="AF19" s="14"/>
      <c r="AG19" s="14"/>
      <c r="AH19" s="14"/>
      <c r="AI19" s="14"/>
      <c r="AJ19" s="15"/>
      <c r="AK19" s="14"/>
      <c r="AL19" s="14"/>
      <c r="AM19" s="14"/>
      <c r="AN19" s="14"/>
      <c r="AO19" s="15"/>
      <c r="AP19" s="14"/>
      <c r="AQ19" s="14"/>
      <c r="AR19" s="14"/>
      <c r="AS19" s="14"/>
      <c r="AT19" s="15"/>
      <c r="AU19" s="27"/>
      <c r="AV19" s="14"/>
      <c r="AW19" s="14"/>
      <c r="AX19" s="14"/>
      <c r="AY19" s="15"/>
      <c r="AZ19" s="14"/>
      <c r="BA19" s="14"/>
      <c r="BB19" s="14"/>
      <c r="BC19" s="14"/>
      <c r="BD19" s="15"/>
    </row>
    <row r="20" spans="2:56" x14ac:dyDescent="0.25">
      <c r="B20" s="18"/>
      <c r="C20" s="35"/>
      <c r="D20" s="19"/>
      <c r="E20" s="19"/>
      <c r="F20" s="19"/>
      <c r="G20" s="33"/>
      <c r="H20" s="30"/>
      <c r="I20" s="30"/>
      <c r="J20" s="30"/>
      <c r="K20" s="34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8"/>
      <c r="W20" s="21"/>
      <c r="X20" s="21"/>
      <c r="Y20" s="21"/>
      <c r="Z20" s="22"/>
      <c r="AA20" s="21"/>
      <c r="AB20" s="21"/>
      <c r="AC20" s="21"/>
      <c r="AD20" s="21"/>
      <c r="AE20" s="22"/>
      <c r="AF20" s="21"/>
      <c r="AG20" s="21"/>
      <c r="AH20" s="21"/>
      <c r="AI20" s="21"/>
      <c r="AJ20" s="22"/>
      <c r="AK20" s="21"/>
      <c r="AL20" s="21"/>
      <c r="AM20" s="21"/>
      <c r="AN20" s="21"/>
      <c r="AO20" s="22"/>
      <c r="AP20" s="21"/>
      <c r="AQ20" s="21"/>
      <c r="AR20" s="21"/>
      <c r="AS20" s="21"/>
      <c r="AT20" s="22"/>
      <c r="AU20" s="28"/>
      <c r="AV20" s="21"/>
      <c r="AW20" s="21"/>
      <c r="AX20" s="21"/>
      <c r="AY20" s="22"/>
      <c r="AZ20" s="21"/>
      <c r="BA20" s="21"/>
      <c r="BB20" s="21"/>
      <c r="BC20" s="21"/>
      <c r="BD20" s="22"/>
    </row>
    <row r="21" spans="2:56" x14ac:dyDescent="0.25">
      <c r="B21" s="11"/>
      <c r="D21" s="12"/>
      <c r="E21" s="12"/>
      <c r="F21" s="12"/>
      <c r="G21" s="31"/>
      <c r="H21" s="29"/>
      <c r="I21" s="29"/>
      <c r="J21" s="29"/>
      <c r="K21" s="32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27"/>
      <c r="W21" s="14"/>
      <c r="X21" s="14"/>
      <c r="Y21" s="14"/>
      <c r="Z21" s="15"/>
      <c r="AA21" s="14"/>
      <c r="AB21" s="14"/>
      <c r="AC21" s="14"/>
      <c r="AD21" s="14"/>
      <c r="AE21" s="15"/>
      <c r="AF21" s="14"/>
      <c r="AG21" s="14"/>
      <c r="AH21" s="14"/>
      <c r="AI21" s="14"/>
      <c r="AJ21" s="15"/>
      <c r="AK21" s="14"/>
      <c r="AL21" s="14"/>
      <c r="AM21" s="14"/>
      <c r="AN21" s="14"/>
      <c r="AO21" s="15"/>
      <c r="AP21" s="14"/>
      <c r="AQ21" s="14"/>
      <c r="AR21" s="14"/>
      <c r="AS21" s="14"/>
      <c r="AT21" s="15"/>
      <c r="AU21" s="27"/>
      <c r="AV21" s="14"/>
      <c r="AW21" s="14"/>
      <c r="AX21" s="14"/>
      <c r="AY21" s="15"/>
      <c r="AZ21" s="14"/>
      <c r="BA21" s="14"/>
      <c r="BB21" s="14"/>
      <c r="BC21" s="14"/>
      <c r="BD21" s="15"/>
    </row>
    <row r="22" spans="2:56" x14ac:dyDescent="0.25">
      <c r="B22" s="18"/>
      <c r="C22" s="35"/>
      <c r="D22" s="19"/>
      <c r="E22" s="19"/>
      <c r="F22" s="19"/>
      <c r="G22" s="33"/>
      <c r="H22" s="30"/>
      <c r="I22" s="30"/>
      <c r="J22" s="30"/>
      <c r="K22" s="34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8"/>
      <c r="W22" s="21"/>
      <c r="X22" s="21"/>
      <c r="Y22" s="21"/>
      <c r="Z22" s="22"/>
      <c r="AA22" s="21"/>
      <c r="AB22" s="21"/>
      <c r="AC22" s="21"/>
      <c r="AD22" s="21"/>
      <c r="AE22" s="22"/>
      <c r="AF22" s="21"/>
      <c r="AG22" s="21"/>
      <c r="AH22" s="21"/>
      <c r="AI22" s="21"/>
      <c r="AJ22" s="22"/>
      <c r="AK22" s="21"/>
      <c r="AL22" s="21"/>
      <c r="AM22" s="21"/>
      <c r="AN22" s="21"/>
      <c r="AO22" s="22"/>
      <c r="AP22" s="21"/>
      <c r="AQ22" s="21"/>
      <c r="AR22" s="21"/>
      <c r="AS22" s="21"/>
      <c r="AT22" s="22"/>
      <c r="AU22" s="28"/>
      <c r="AV22" s="21"/>
      <c r="AW22" s="21"/>
      <c r="AX22" s="21"/>
      <c r="AY22" s="22"/>
      <c r="AZ22" s="21"/>
      <c r="BA22" s="21"/>
      <c r="BB22" s="21"/>
      <c r="BC22" s="21"/>
      <c r="BD22" s="22"/>
    </row>
    <row r="23" spans="2:56" x14ac:dyDescent="0.25">
      <c r="B23" s="11"/>
      <c r="D23" s="12"/>
      <c r="E23" s="12"/>
      <c r="F23" s="12"/>
      <c r="G23" s="31"/>
      <c r="H23" s="29"/>
      <c r="I23" s="29"/>
      <c r="J23" s="29"/>
      <c r="K23" s="32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27"/>
      <c r="W23" s="14"/>
      <c r="X23" s="14"/>
      <c r="Y23" s="14"/>
      <c r="Z23" s="15"/>
      <c r="AA23" s="14"/>
      <c r="AB23" s="14"/>
      <c r="AC23" s="14"/>
      <c r="AD23" s="14"/>
      <c r="AE23" s="15"/>
      <c r="AF23" s="14"/>
      <c r="AG23" s="14"/>
      <c r="AH23" s="14"/>
      <c r="AI23" s="14"/>
      <c r="AJ23" s="15"/>
      <c r="AK23" s="14"/>
      <c r="AL23" s="14"/>
      <c r="AM23" s="14"/>
      <c r="AN23" s="14"/>
      <c r="AO23" s="15"/>
      <c r="AP23" s="14"/>
      <c r="AQ23" s="14"/>
      <c r="AR23" s="14"/>
      <c r="AS23" s="14"/>
      <c r="AT23" s="15"/>
      <c r="AU23" s="27"/>
      <c r="AV23" s="14"/>
      <c r="AW23" s="14"/>
      <c r="AX23" s="14"/>
      <c r="AY23" s="15"/>
      <c r="AZ23" s="14"/>
      <c r="BA23" s="14"/>
      <c r="BB23" s="14"/>
      <c r="BC23" s="14"/>
      <c r="BD23" s="15"/>
    </row>
    <row r="24" spans="2:56" x14ac:dyDescent="0.25">
      <c r="B24" s="18"/>
      <c r="C24" s="35"/>
      <c r="D24" s="19"/>
      <c r="E24" s="19"/>
      <c r="F24" s="19"/>
      <c r="G24" s="33"/>
      <c r="H24" s="30"/>
      <c r="I24" s="30"/>
      <c r="J24" s="30"/>
      <c r="K24" s="34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8"/>
      <c r="W24" s="21"/>
      <c r="X24" s="21"/>
      <c r="Y24" s="21"/>
      <c r="Z24" s="22"/>
      <c r="AA24" s="21"/>
      <c r="AB24" s="21"/>
      <c r="AC24" s="21"/>
      <c r="AD24" s="21"/>
      <c r="AE24" s="22"/>
      <c r="AF24" s="21"/>
      <c r="AG24" s="21"/>
      <c r="AH24" s="21"/>
      <c r="AI24" s="21"/>
      <c r="AJ24" s="22"/>
      <c r="AK24" s="21"/>
      <c r="AL24" s="21"/>
      <c r="AM24" s="21"/>
      <c r="AN24" s="21"/>
      <c r="AO24" s="22"/>
      <c r="AP24" s="21"/>
      <c r="AQ24" s="21"/>
      <c r="AR24" s="21"/>
      <c r="AS24" s="21"/>
      <c r="AT24" s="22"/>
      <c r="AU24" s="28"/>
      <c r="AV24" s="21"/>
      <c r="AW24" s="21"/>
      <c r="AX24" s="21"/>
      <c r="AY24" s="22"/>
      <c r="AZ24" s="21"/>
      <c r="BA24" s="21"/>
      <c r="BB24" s="21"/>
      <c r="BC24" s="21"/>
      <c r="BD24" s="22"/>
    </row>
    <row r="25" spans="2:56" x14ac:dyDescent="0.25">
      <c r="B25" s="11"/>
      <c r="G25" s="11"/>
      <c r="K25" s="16"/>
      <c r="V25" s="11"/>
      <c r="Z25" s="16"/>
      <c r="AE25" s="16"/>
      <c r="AJ25" s="16"/>
      <c r="AO25" s="16"/>
      <c r="AT25" s="16"/>
      <c r="AU25" s="11"/>
      <c r="AY25" s="16"/>
      <c r="BD25" s="16"/>
    </row>
    <row r="26" spans="2:56" x14ac:dyDescent="0.25">
      <c r="B26" s="11"/>
      <c r="G26" s="11"/>
      <c r="K26" s="16"/>
      <c r="V26" s="11"/>
      <c r="Z26" s="16"/>
      <c r="AE26" s="16"/>
      <c r="AJ26" s="16"/>
      <c r="AO26" s="16"/>
      <c r="AT26" s="16"/>
      <c r="AU26" s="11"/>
      <c r="AY26" s="16"/>
      <c r="BD26" s="16"/>
    </row>
    <row r="27" spans="2:56" x14ac:dyDescent="0.25">
      <c r="B27" s="11"/>
      <c r="G27" s="11"/>
      <c r="K27" s="16"/>
      <c r="V27" s="11"/>
      <c r="Z27" s="16"/>
      <c r="AE27" s="16"/>
      <c r="AJ27" s="16"/>
      <c r="AO27" s="16"/>
      <c r="AT27" s="16"/>
      <c r="AU27" s="11"/>
      <c r="AY27" s="16"/>
      <c r="BD27" s="16"/>
    </row>
    <row r="28" spans="2:56" x14ac:dyDescent="0.25">
      <c r="B28" s="11"/>
      <c r="G28" s="11"/>
      <c r="K28" s="16"/>
      <c r="V28" s="11"/>
      <c r="Z28" s="16"/>
      <c r="AE28" s="16"/>
      <c r="AJ28" s="16"/>
      <c r="AO28" s="16"/>
      <c r="AT28" s="16"/>
      <c r="AU28" s="11"/>
      <c r="AY28" s="16"/>
      <c r="BD28" s="16"/>
    </row>
    <row r="29" spans="2:56" x14ac:dyDescent="0.25">
      <c r="B29" s="11"/>
      <c r="G29" s="11"/>
      <c r="K29" s="16"/>
      <c r="V29" s="11"/>
      <c r="Z29" s="16"/>
      <c r="AE29" s="16"/>
      <c r="AJ29" s="16"/>
      <c r="AO29" s="16"/>
      <c r="AT29" s="16"/>
      <c r="AU29" s="11"/>
      <c r="AY29" s="16"/>
      <c r="BD29" s="16"/>
    </row>
    <row r="30" spans="2:56" x14ac:dyDescent="0.25">
      <c r="B30" s="11"/>
      <c r="G30" s="11"/>
      <c r="K30" s="16"/>
      <c r="V30" s="11"/>
      <c r="Z30" s="16"/>
      <c r="AE30" s="16"/>
      <c r="AJ30" s="16"/>
      <c r="AO30" s="16"/>
      <c r="AT30" s="16"/>
      <c r="AU30" s="11"/>
      <c r="AY30" s="16"/>
      <c r="BD30" s="16"/>
    </row>
    <row r="31" spans="2:56" x14ac:dyDescent="0.25">
      <c r="B31" s="11"/>
      <c r="G31" s="11"/>
      <c r="K31" s="16"/>
      <c r="V31" s="11"/>
      <c r="Z31" s="16"/>
      <c r="AE31" s="16"/>
      <c r="AJ31" s="16"/>
      <c r="AO31" s="16"/>
      <c r="AT31" s="16"/>
      <c r="AU31" s="11"/>
      <c r="AY31" s="16"/>
      <c r="BD31" s="16"/>
    </row>
    <row r="32" spans="2:56" x14ac:dyDescent="0.25">
      <c r="B32" s="11"/>
      <c r="G32" s="11"/>
      <c r="K32" s="16"/>
      <c r="V32" s="11"/>
      <c r="Z32" s="16"/>
      <c r="AE32" s="16"/>
      <c r="AJ32" s="16"/>
      <c r="AO32" s="16"/>
      <c r="AT32" s="16"/>
      <c r="AU32" s="11"/>
      <c r="AY32" s="16"/>
      <c r="BD32" s="16"/>
    </row>
    <row r="33" spans="2:56" x14ac:dyDescent="0.25">
      <c r="B33" s="11"/>
      <c r="G33" s="11"/>
      <c r="K33" s="16"/>
      <c r="V33" s="11"/>
      <c r="Z33" s="16"/>
      <c r="AE33" s="16"/>
      <c r="AJ33" s="16"/>
      <c r="AO33" s="16"/>
      <c r="AT33" s="16"/>
      <c r="AU33" s="11"/>
      <c r="AY33" s="16"/>
      <c r="BD33" s="16"/>
    </row>
    <row r="34" spans="2:56" x14ac:dyDescent="0.25">
      <c r="B34" s="11"/>
      <c r="G34" s="11"/>
      <c r="K34" s="16"/>
      <c r="V34" s="11"/>
      <c r="Z34" s="16"/>
      <c r="AE34" s="16"/>
      <c r="AJ34" s="16"/>
      <c r="AO34" s="16"/>
      <c r="AT34" s="16"/>
      <c r="AU34" s="11"/>
      <c r="AY34" s="16"/>
      <c r="BD34" s="16"/>
    </row>
    <row r="35" spans="2:56" x14ac:dyDescent="0.25">
      <c r="B35" s="11"/>
      <c r="G35" s="11"/>
      <c r="K35" s="16"/>
      <c r="V35" s="11"/>
      <c r="Z35" s="16"/>
      <c r="AE35" s="16"/>
      <c r="AJ35" s="16"/>
      <c r="AO35" s="16"/>
      <c r="AT35" s="16"/>
      <c r="AU35" s="11"/>
      <c r="AY35" s="16"/>
      <c r="BD35" s="16"/>
    </row>
    <row r="36" spans="2:56" x14ac:dyDescent="0.25">
      <c r="B36" s="11"/>
      <c r="G36" s="11"/>
      <c r="K36" s="16"/>
      <c r="V36" s="11"/>
      <c r="Z36" s="16"/>
      <c r="AE36" s="16"/>
      <c r="AJ36" s="16"/>
      <c r="AO36" s="16"/>
      <c r="AT36" s="16"/>
      <c r="AU36" s="11"/>
      <c r="AY36" s="16"/>
      <c r="BD36" s="16"/>
    </row>
    <row r="37" spans="2:56" x14ac:dyDescent="0.25">
      <c r="B37" s="11"/>
      <c r="G37" s="11"/>
      <c r="K37" s="16"/>
      <c r="V37" s="11"/>
      <c r="Z37" s="16"/>
      <c r="AE37" s="16"/>
      <c r="AJ37" s="16"/>
      <c r="AO37" s="16"/>
      <c r="AT37" s="16"/>
      <c r="AU37" s="11"/>
      <c r="AY37" s="16"/>
      <c r="BD37" s="16"/>
    </row>
    <row r="38" spans="2:56" x14ac:dyDescent="0.25">
      <c r="B38" s="11"/>
      <c r="G38" s="11"/>
      <c r="K38" s="16"/>
      <c r="V38" s="11"/>
      <c r="Z38" s="16"/>
      <c r="AE38" s="16"/>
      <c r="AJ38" s="16"/>
      <c r="AO38" s="16"/>
      <c r="AT38" s="16"/>
      <c r="AU38" s="11"/>
      <c r="AY38" s="16"/>
      <c r="BD38" s="16"/>
    </row>
    <row r="39" spans="2:56" x14ac:dyDescent="0.25">
      <c r="B39" s="11"/>
      <c r="G39" s="11"/>
      <c r="K39" s="16"/>
      <c r="V39" s="11"/>
      <c r="Z39" s="16"/>
      <c r="AE39" s="16"/>
      <c r="AJ39" s="16"/>
      <c r="AO39" s="16"/>
      <c r="AT39" s="16"/>
      <c r="AU39" s="11"/>
      <c r="AY39" s="16"/>
      <c r="BD39" s="16"/>
    </row>
    <row r="40" spans="2:56" x14ac:dyDescent="0.25">
      <c r="B40" s="11"/>
      <c r="G40" s="11"/>
      <c r="K40" s="16"/>
      <c r="V40" s="11"/>
      <c r="Z40" s="16"/>
      <c r="AE40" s="16"/>
      <c r="AJ40" s="16"/>
      <c r="AO40" s="16"/>
      <c r="AT40" s="16"/>
      <c r="AU40" s="11"/>
      <c r="AY40" s="16"/>
      <c r="BD40" s="16"/>
    </row>
    <row r="41" spans="2:56" x14ac:dyDescent="0.25">
      <c r="B41" s="11"/>
      <c r="G41" s="11"/>
      <c r="K41" s="16"/>
      <c r="V41" s="11"/>
      <c r="Z41" s="16"/>
      <c r="AE41" s="16"/>
      <c r="AJ41" s="16"/>
      <c r="AO41" s="16"/>
      <c r="AT41" s="16"/>
      <c r="AU41" s="11"/>
      <c r="AY41" s="16"/>
      <c r="BD41" s="16"/>
    </row>
    <row r="42" spans="2:56" x14ac:dyDescent="0.25">
      <c r="B42" s="11"/>
      <c r="G42" s="11"/>
      <c r="K42" s="16"/>
      <c r="V42" s="11"/>
      <c r="Z42" s="16"/>
      <c r="AE42" s="16"/>
      <c r="AJ42" s="16"/>
      <c r="AO42" s="16"/>
      <c r="AT42" s="16"/>
      <c r="AU42" s="11"/>
      <c r="AY42" s="16"/>
      <c r="BD42" s="16"/>
    </row>
    <row r="43" spans="2:56" x14ac:dyDescent="0.25">
      <c r="B43" s="11"/>
      <c r="G43" s="11"/>
      <c r="K43" s="16"/>
      <c r="V43" s="11"/>
      <c r="Z43" s="16"/>
      <c r="AE43" s="16"/>
      <c r="AJ43" s="16"/>
      <c r="AO43" s="16"/>
      <c r="AT43" s="16"/>
      <c r="AU43" s="11"/>
      <c r="AY43" s="16"/>
      <c r="BD43" s="16"/>
    </row>
    <row r="44" spans="2:56" x14ac:dyDescent="0.25">
      <c r="B44" s="11"/>
      <c r="G44" s="11"/>
      <c r="K44" s="16"/>
      <c r="V44" s="11"/>
      <c r="Z44" s="16"/>
      <c r="AE44" s="16"/>
      <c r="AJ44" s="16"/>
      <c r="AO44" s="16"/>
      <c r="AT44" s="16"/>
      <c r="AU44" s="11"/>
      <c r="AY44" s="16"/>
      <c r="BD44" s="16"/>
    </row>
    <row r="45" spans="2:56" x14ac:dyDescent="0.25">
      <c r="B45" s="11"/>
      <c r="G45" s="11"/>
      <c r="K45" s="16"/>
      <c r="V45" s="11"/>
      <c r="Z45" s="16"/>
      <c r="AE45" s="16"/>
      <c r="AJ45" s="16"/>
      <c r="AO45" s="16"/>
      <c r="AT45" s="16"/>
      <c r="AU45" s="11"/>
      <c r="AY45" s="16"/>
      <c r="BD45" s="16"/>
    </row>
    <row r="46" spans="2:56" x14ac:dyDescent="0.25">
      <c r="B46" s="11"/>
      <c r="G46" s="11"/>
      <c r="K46" s="16"/>
      <c r="V46" s="11"/>
      <c r="Z46" s="16"/>
      <c r="AE46" s="16"/>
      <c r="AJ46" s="16"/>
      <c r="AO46" s="16"/>
      <c r="AT46" s="16"/>
      <c r="AU46" s="11"/>
      <c r="AY46" s="16"/>
      <c r="BD46" s="16"/>
    </row>
    <row r="47" spans="2:56" x14ac:dyDescent="0.25">
      <c r="B47" s="11"/>
      <c r="G47" s="11"/>
      <c r="K47" s="16"/>
      <c r="V47" s="11"/>
      <c r="Z47" s="16"/>
      <c r="AE47" s="16"/>
      <c r="AJ47" s="16"/>
      <c r="AO47" s="16"/>
      <c r="AT47" s="16"/>
      <c r="AU47" s="11"/>
      <c r="AY47" s="16"/>
      <c r="BD47" s="16"/>
    </row>
    <row r="48" spans="2:56" x14ac:dyDescent="0.25">
      <c r="B48" s="11"/>
      <c r="G48" s="11"/>
      <c r="K48" s="16"/>
      <c r="V48" s="11"/>
      <c r="Z48" s="16"/>
      <c r="AE48" s="16"/>
      <c r="AJ48" s="16"/>
      <c r="AO48" s="16"/>
      <c r="AT48" s="16"/>
      <c r="AU48" s="11"/>
      <c r="AY48" s="16"/>
      <c r="BD48" s="16"/>
    </row>
    <row r="49" spans="2:56" x14ac:dyDescent="0.25">
      <c r="B49" s="11"/>
      <c r="G49" s="11"/>
      <c r="K49" s="16"/>
      <c r="V49" s="11"/>
      <c r="Z49" s="16"/>
      <c r="AE49" s="16"/>
      <c r="AJ49" s="16"/>
      <c r="AO49" s="16"/>
      <c r="AT49" s="16"/>
      <c r="AU49" s="11"/>
      <c r="AY49" s="16"/>
      <c r="BD49" s="16"/>
    </row>
    <row r="50" spans="2:56" x14ac:dyDescent="0.25">
      <c r="B50" s="11"/>
      <c r="G50" s="11"/>
      <c r="K50" s="16"/>
      <c r="V50" s="11"/>
      <c r="Z50" s="16"/>
      <c r="AE50" s="16"/>
      <c r="AJ50" s="16"/>
      <c r="AO50" s="16"/>
      <c r="AT50" s="16"/>
      <c r="AU50" s="11"/>
      <c r="AY50" s="16"/>
      <c r="BD50" s="16"/>
    </row>
    <row r="51" spans="2:56" x14ac:dyDescent="0.25">
      <c r="B51" s="11"/>
      <c r="G51" s="11"/>
      <c r="K51" s="16"/>
      <c r="V51" s="11"/>
      <c r="Z51" s="16"/>
      <c r="AE51" s="16"/>
      <c r="AJ51" s="16"/>
      <c r="AO51" s="16"/>
      <c r="AT51" s="16"/>
      <c r="AU51" s="11"/>
      <c r="AY51" s="16"/>
      <c r="BD51" s="16"/>
    </row>
    <row r="52" spans="2:56" x14ac:dyDescent="0.25">
      <c r="B52" s="11"/>
      <c r="G52" s="11"/>
      <c r="K52" s="16"/>
      <c r="V52" s="11"/>
      <c r="Z52" s="16"/>
      <c r="AE52" s="16"/>
      <c r="AJ52" s="16"/>
      <c r="AO52" s="16"/>
      <c r="AT52" s="16"/>
      <c r="AU52" s="11"/>
      <c r="AY52" s="16"/>
      <c r="BD52" s="16"/>
    </row>
    <row r="53" spans="2:56" x14ac:dyDescent="0.25">
      <c r="B53" s="11"/>
      <c r="G53" s="11"/>
      <c r="K53" s="16"/>
      <c r="V53" s="11"/>
      <c r="Z53" s="16"/>
      <c r="AE53" s="16"/>
      <c r="AJ53" s="16"/>
      <c r="AO53" s="16"/>
      <c r="AT53" s="16"/>
      <c r="AU53" s="11"/>
      <c r="AY53" s="16"/>
      <c r="BD53" s="16"/>
    </row>
    <row r="54" spans="2:56" x14ac:dyDescent="0.25">
      <c r="B54" s="11"/>
      <c r="G54" s="11"/>
      <c r="K54" s="16"/>
      <c r="V54" s="11"/>
      <c r="Z54" s="16"/>
      <c r="AE54" s="16"/>
      <c r="AJ54" s="16"/>
      <c r="AO54" s="16"/>
      <c r="AT54" s="16"/>
      <c r="AU54" s="11"/>
      <c r="AY54" s="16"/>
      <c r="BD54" s="16"/>
    </row>
    <row r="55" spans="2:56" x14ac:dyDescent="0.25">
      <c r="B55" s="11"/>
      <c r="G55" s="11"/>
      <c r="K55" s="16"/>
      <c r="V55" s="11"/>
      <c r="Z55" s="16"/>
      <c r="AE55" s="16"/>
      <c r="AJ55" s="16"/>
      <c r="AO55" s="16"/>
      <c r="AT55" s="16"/>
      <c r="AU55" s="11"/>
      <c r="AY55" s="16"/>
      <c r="BD55" s="16"/>
    </row>
    <row r="56" spans="2:56" x14ac:dyDescent="0.25">
      <c r="B56" s="11"/>
      <c r="G56" s="11"/>
      <c r="K56" s="16"/>
      <c r="V56" s="11"/>
      <c r="Z56" s="16"/>
      <c r="AE56" s="16"/>
      <c r="AJ56" s="16"/>
      <c r="AO56" s="16"/>
      <c r="AT56" s="16"/>
      <c r="AU56" s="11"/>
      <c r="AY56" s="16"/>
      <c r="BD56" s="16"/>
    </row>
    <row r="57" spans="2:56" x14ac:dyDescent="0.25">
      <c r="B57" s="11"/>
      <c r="G57" s="11"/>
      <c r="K57" s="16"/>
      <c r="V57" s="11"/>
      <c r="Z57" s="16"/>
      <c r="AE57" s="16"/>
      <c r="AJ57" s="16"/>
      <c r="AO57" s="16"/>
      <c r="AT57" s="16"/>
      <c r="AU57" s="11"/>
      <c r="AY57" s="16"/>
      <c r="BD57" s="16"/>
    </row>
    <row r="58" spans="2:56" x14ac:dyDescent="0.25">
      <c r="B58" s="11"/>
      <c r="G58" s="11"/>
      <c r="K58" s="16"/>
      <c r="V58" s="11"/>
      <c r="Z58" s="16"/>
      <c r="AE58" s="16"/>
      <c r="AJ58" s="16"/>
      <c r="AO58" s="16"/>
      <c r="AT58" s="16"/>
      <c r="AU58" s="11"/>
      <c r="AY58" s="16"/>
      <c r="BD58" s="16"/>
    </row>
    <row r="59" spans="2:56" x14ac:dyDescent="0.25">
      <c r="B59" s="11"/>
      <c r="G59" s="11"/>
      <c r="K59" s="16"/>
      <c r="V59" s="11"/>
      <c r="Z59" s="16"/>
      <c r="AE59" s="16"/>
      <c r="AJ59" s="16"/>
      <c r="AO59" s="16"/>
      <c r="AT59" s="16"/>
      <c r="AU59" s="11"/>
      <c r="AY59" s="16"/>
      <c r="BD59" s="16"/>
    </row>
    <row r="60" spans="2:56" x14ac:dyDescent="0.25">
      <c r="B60" s="11"/>
      <c r="G60" s="11"/>
      <c r="K60" s="16"/>
      <c r="V60" s="11"/>
      <c r="Z60" s="16"/>
      <c r="AE60" s="16"/>
      <c r="AJ60" s="16"/>
      <c r="AO60" s="16"/>
      <c r="AT60" s="16"/>
      <c r="AU60" s="11"/>
      <c r="AY60" s="16"/>
      <c r="BD60" s="16"/>
    </row>
    <row r="61" spans="2:56" x14ac:dyDescent="0.25">
      <c r="B61" s="11"/>
      <c r="G61" s="11"/>
      <c r="K61" s="16"/>
      <c r="V61" s="11"/>
      <c r="Z61" s="16"/>
      <c r="AE61" s="16"/>
      <c r="AJ61" s="16"/>
      <c r="AO61" s="16"/>
      <c r="AT61" s="16"/>
      <c r="AU61" s="11"/>
      <c r="AY61" s="16"/>
      <c r="BD61" s="16"/>
    </row>
    <row r="62" spans="2:56" x14ac:dyDescent="0.25">
      <c r="B62" s="11"/>
      <c r="G62" s="11"/>
      <c r="K62" s="16"/>
      <c r="V62" s="11"/>
      <c r="Z62" s="16"/>
      <c r="AE62" s="16"/>
      <c r="AJ62" s="16"/>
      <c r="AO62" s="16"/>
      <c r="AT62" s="16"/>
      <c r="AU62" s="11"/>
      <c r="AY62" s="16"/>
      <c r="BD62" s="16"/>
    </row>
    <row r="63" spans="2:56" x14ac:dyDescent="0.25">
      <c r="B63" s="11"/>
      <c r="G63" s="11"/>
      <c r="K63" s="16"/>
      <c r="V63" s="11"/>
      <c r="Z63" s="16"/>
      <c r="AE63" s="16"/>
      <c r="AJ63" s="16"/>
      <c r="AO63" s="16"/>
      <c r="AT63" s="16"/>
      <c r="AU63" s="11"/>
      <c r="AY63" s="16"/>
      <c r="BD63" s="16"/>
    </row>
    <row r="64" spans="2:56" x14ac:dyDescent="0.25">
      <c r="B64" s="11"/>
      <c r="G64" s="11"/>
      <c r="K64" s="16"/>
      <c r="V64" s="11"/>
      <c r="Z64" s="16"/>
      <c r="AE64" s="16"/>
      <c r="AJ64" s="16"/>
      <c r="AO64" s="16"/>
      <c r="AT64" s="16"/>
      <c r="AU64" s="11"/>
      <c r="AY64" s="16"/>
      <c r="BD64" s="16"/>
    </row>
    <row r="65" spans="2:56" x14ac:dyDescent="0.25">
      <c r="B65" s="11"/>
      <c r="G65" s="11"/>
      <c r="K65" s="16"/>
      <c r="V65" s="11"/>
      <c r="Z65" s="16"/>
      <c r="AE65" s="16"/>
      <c r="AJ65" s="16"/>
      <c r="AO65" s="16"/>
      <c r="AT65" s="16"/>
      <c r="AU65" s="11"/>
      <c r="AY65" s="16"/>
      <c r="BD65" s="16"/>
    </row>
    <row r="66" spans="2:56" x14ac:dyDescent="0.25">
      <c r="B66" s="11"/>
      <c r="G66" s="11"/>
      <c r="K66" s="16"/>
      <c r="V66" s="11"/>
      <c r="Z66" s="16"/>
      <c r="AE66" s="16"/>
      <c r="AJ66" s="16"/>
      <c r="AO66" s="16"/>
      <c r="AT66" s="16"/>
      <c r="AU66" s="11"/>
      <c r="AY66" s="16"/>
      <c r="BD66" s="16"/>
    </row>
    <row r="67" spans="2:56" x14ac:dyDescent="0.25">
      <c r="B67" s="11"/>
      <c r="G67" s="11"/>
      <c r="K67" s="16"/>
      <c r="V67" s="11"/>
      <c r="Z67" s="16"/>
      <c r="AE67" s="16"/>
      <c r="AJ67" s="16"/>
      <c r="AO67" s="16"/>
      <c r="AT67" s="16"/>
      <c r="AU67" s="11"/>
      <c r="AY67" s="16"/>
      <c r="BD67" s="16"/>
    </row>
    <row r="68" spans="2:56" x14ac:dyDescent="0.25">
      <c r="B68" s="11"/>
      <c r="G68" s="11"/>
      <c r="K68" s="16"/>
      <c r="V68" s="11"/>
      <c r="Z68" s="16"/>
      <c r="AE68" s="16"/>
      <c r="AJ68" s="16"/>
      <c r="AO68" s="16"/>
      <c r="AT68" s="16"/>
      <c r="AU68" s="11"/>
      <c r="AY68" s="16"/>
      <c r="BD68" s="16"/>
    </row>
    <row r="69" spans="2:56" x14ac:dyDescent="0.25">
      <c r="B69" s="11"/>
      <c r="G69" s="11"/>
      <c r="K69" s="16"/>
      <c r="V69" s="11"/>
      <c r="Z69" s="16"/>
      <c r="AE69" s="16"/>
      <c r="AJ69" s="16"/>
      <c r="AO69" s="16"/>
      <c r="AT69" s="16"/>
      <c r="AU69" s="11"/>
      <c r="AY69" s="16"/>
      <c r="BD69" s="16"/>
    </row>
    <row r="70" spans="2:56" x14ac:dyDescent="0.25">
      <c r="B70" s="11"/>
      <c r="G70" s="11"/>
      <c r="K70" s="16"/>
      <c r="V70" s="11"/>
      <c r="Z70" s="16"/>
      <c r="AE70" s="16"/>
      <c r="AJ70" s="16"/>
      <c r="AO70" s="16"/>
      <c r="AT70" s="16"/>
      <c r="AU70" s="11"/>
      <c r="AY70" s="16"/>
      <c r="BD70" s="16"/>
    </row>
    <row r="71" spans="2:56" x14ac:dyDescent="0.25">
      <c r="B71" s="11"/>
      <c r="G71" s="11"/>
      <c r="K71" s="16"/>
      <c r="V71" s="11"/>
      <c r="Z71" s="16"/>
      <c r="AE71" s="16"/>
      <c r="AJ71" s="16"/>
      <c r="AO71" s="16"/>
      <c r="AT71" s="16"/>
      <c r="AU71" s="11"/>
      <c r="AY71" s="16"/>
      <c r="BD71" s="16"/>
    </row>
    <row r="72" spans="2:56" x14ac:dyDescent="0.25">
      <c r="B72" s="11"/>
      <c r="G72" s="11"/>
      <c r="K72" s="16"/>
      <c r="V72" s="11"/>
      <c r="Z72" s="16"/>
      <c r="AE72" s="16"/>
      <c r="AJ72" s="16"/>
      <c r="AO72" s="16"/>
      <c r="AT72" s="16"/>
      <c r="AU72" s="11"/>
      <c r="AY72" s="16"/>
      <c r="BD72" s="16"/>
    </row>
    <row r="73" spans="2:56" x14ac:dyDescent="0.25">
      <c r="B73" s="11"/>
      <c r="G73" s="11"/>
      <c r="K73" s="16"/>
      <c r="V73" s="11"/>
      <c r="Z73" s="16"/>
      <c r="AE73" s="16"/>
      <c r="AJ73" s="16"/>
      <c r="AO73" s="16"/>
      <c r="AT73" s="16"/>
      <c r="AU73" s="11"/>
      <c r="AY73" s="16"/>
      <c r="BD73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4518A-9F5F-4249-AF7E-2DE1F7CF6617}">
  <sheetPr codeName="Sheet1"/>
  <dimension ref="A1:H29"/>
  <sheetViews>
    <sheetView workbookViewId="0">
      <selection activeCell="F3" sqref="F3"/>
    </sheetView>
  </sheetViews>
  <sheetFormatPr defaultRowHeight="15" x14ac:dyDescent="0.25"/>
  <cols>
    <col min="1" max="1" width="11.28515625" customWidth="1"/>
    <col min="2" max="2" width="12" customWidth="1"/>
    <col min="4" max="4" width="10" bestFit="1" customWidth="1"/>
    <col min="5" max="5" width="10" customWidth="1"/>
  </cols>
  <sheetData>
    <row r="1" spans="1:8" x14ac:dyDescent="0.25">
      <c r="F1">
        <f>B3</f>
        <v>-0.25</v>
      </c>
      <c r="G1">
        <v>0.25</v>
      </c>
      <c r="H1" t="s">
        <v>28</v>
      </c>
    </row>
    <row r="2" spans="1:8" x14ac:dyDescent="0.25">
      <c r="A2" t="s">
        <v>0</v>
      </c>
      <c r="B2" t="s">
        <v>1</v>
      </c>
      <c r="D2" s="36">
        <v>45212</v>
      </c>
      <c r="E2" s="63">
        <v>4327.77978515625</v>
      </c>
      <c r="F2" cm="1">
        <f t="array" ref="F2">get_pctDeltaVol($B$2,D2+$B$5,$B$3,E2,D2)</f>
        <v>0.1930609047594371</v>
      </c>
      <c r="G2" cm="1">
        <f t="array" ref="G2">get_pctDeltaVol($B$2,D2+$B$5,$B$4,E2,D2)</f>
        <v>0.13078016011210711</v>
      </c>
      <c r="H2">
        <f t="shared" ref="H2:H22" si="0">F2-G2</f>
        <v>6.2280744647329994E-2</v>
      </c>
    </row>
    <row r="3" spans="1:8" x14ac:dyDescent="0.25">
      <c r="A3" t="s">
        <v>33</v>
      </c>
      <c r="B3">
        <v>-0.25</v>
      </c>
      <c r="D3" s="36">
        <v>45215</v>
      </c>
      <c r="E3" s="63">
        <v>4373.6298828125</v>
      </c>
      <c r="F3">
        <v>0.1781675679864079</v>
      </c>
      <c r="G3">
        <v>0.12093407956658409</v>
      </c>
      <c r="H3">
        <v>5.7233488419823814E-2</v>
      </c>
    </row>
    <row r="4" spans="1:8" x14ac:dyDescent="0.25">
      <c r="A4" t="s">
        <v>34</v>
      </c>
      <c r="B4">
        <v>0.25</v>
      </c>
      <c r="D4" s="36">
        <v>45216</v>
      </c>
      <c r="E4" s="63">
        <v>4373.2001953125</v>
      </c>
      <c r="F4">
        <v>0.18158309982123749</v>
      </c>
      <c r="G4">
        <v>0.12318200769734022</v>
      </c>
      <c r="H4">
        <v>5.8401092123897269E-2</v>
      </c>
    </row>
    <row r="5" spans="1:8" x14ac:dyDescent="0.25">
      <c r="A5" t="s">
        <v>37</v>
      </c>
      <c r="B5">
        <v>90</v>
      </c>
      <c r="D5" s="36">
        <v>45217</v>
      </c>
      <c r="E5" s="63">
        <v>4314.60009765625</v>
      </c>
      <c r="F5">
        <v>0.20137105179516324</v>
      </c>
      <c r="G5">
        <v>0.13155140393752887</v>
      </c>
      <c r="H5">
        <v>6.9819647857634365E-2</v>
      </c>
    </row>
    <row r="6" spans="1:8" x14ac:dyDescent="0.25">
      <c r="A6" t="s">
        <v>35</v>
      </c>
      <c r="B6" s="36">
        <f ca="1">TODAY()-30</f>
        <v>45213</v>
      </c>
      <c r="D6" s="36">
        <v>45218</v>
      </c>
      <c r="E6" s="63">
        <v>4278</v>
      </c>
      <c r="F6">
        <v>0.20809752074696683</v>
      </c>
      <c r="G6">
        <v>0.13639471561076841</v>
      </c>
      <c r="H6">
        <v>7.1702805136198422E-2</v>
      </c>
    </row>
    <row r="7" spans="1:8" x14ac:dyDescent="0.25">
      <c r="A7" t="s">
        <v>36</v>
      </c>
      <c r="B7" s="36">
        <f ca="1">TODAY()</f>
        <v>45243</v>
      </c>
      <c r="D7" s="36">
        <v>45219</v>
      </c>
      <c r="E7" s="63">
        <v>4224.16015625</v>
      </c>
      <c r="F7">
        <v>0.213788716531043</v>
      </c>
      <c r="G7">
        <v>0.14291071695473959</v>
      </c>
      <c r="H7">
        <v>7.0877999576303419E-2</v>
      </c>
    </row>
    <row r="8" spans="1:8" x14ac:dyDescent="0.25">
      <c r="D8" s="36">
        <v>45222</v>
      </c>
      <c r="E8" s="63">
        <v>4217.0400390625</v>
      </c>
      <c r="F8">
        <v>0.21493859117323638</v>
      </c>
      <c r="G8">
        <v>0.14380345689855234</v>
      </c>
      <c r="H8">
        <v>7.1135134274684042E-2</v>
      </c>
    </row>
    <row r="9" spans="1:8" x14ac:dyDescent="0.25">
      <c r="D9" s="36">
        <v>45223</v>
      </c>
      <c r="E9" s="63">
        <v>4247.68017578125</v>
      </c>
      <c r="F9">
        <v>0.19710555553198292</v>
      </c>
      <c r="G9">
        <v>0.13705387874807959</v>
      </c>
      <c r="H9">
        <v>6.0051676783903329E-2</v>
      </c>
    </row>
    <row r="10" spans="1:8" x14ac:dyDescent="0.25">
      <c r="D10" s="36">
        <v>45224</v>
      </c>
      <c r="E10" s="63">
        <v>4186.77001953125</v>
      </c>
      <c r="F10">
        <v>0.21111704582488336</v>
      </c>
      <c r="G10">
        <v>0.1448602474749813</v>
      </c>
      <c r="H10">
        <v>6.6256798349902057E-2</v>
      </c>
    </row>
    <row r="11" spans="1:8" x14ac:dyDescent="0.25">
      <c r="D11" s="36">
        <v>45225</v>
      </c>
      <c r="E11" s="63">
        <v>4137.22998046875</v>
      </c>
      <c r="F11">
        <v>0.21231502192929524</v>
      </c>
      <c r="G11">
        <v>0.1493510533381755</v>
      </c>
      <c r="H11">
        <v>6.2963968591119746E-2</v>
      </c>
    </row>
    <row r="12" spans="1:8" x14ac:dyDescent="0.25">
      <c r="D12" s="36">
        <v>45226</v>
      </c>
      <c r="E12" s="63">
        <v>4117.3701171875</v>
      </c>
      <c r="F12">
        <v>0.21523666535591071</v>
      </c>
      <c r="G12">
        <v>0.15220787275609265</v>
      </c>
      <c r="H12">
        <v>6.3028792599818056E-2</v>
      </c>
    </row>
    <row r="13" spans="1:8" x14ac:dyDescent="0.25">
      <c r="D13" s="36">
        <v>45229</v>
      </c>
      <c r="E13" s="63">
        <v>4166.81982421875</v>
      </c>
      <c r="F13">
        <v>0.20295298933963504</v>
      </c>
      <c r="G13">
        <v>0.14482547267728102</v>
      </c>
      <c r="H13">
        <v>5.8127516662354023E-2</v>
      </c>
    </row>
    <row r="14" spans="1:8" x14ac:dyDescent="0.25">
      <c r="D14" s="36">
        <v>45230</v>
      </c>
      <c r="E14" s="63">
        <v>4193.7998046875</v>
      </c>
      <c r="F14">
        <v>0.19110931563765329</v>
      </c>
      <c r="G14">
        <v>0.1353117739619035</v>
      </c>
      <c r="H14">
        <v>5.5797541675749796E-2</v>
      </c>
    </row>
    <row r="15" spans="1:8" x14ac:dyDescent="0.25">
      <c r="D15" s="36">
        <v>45231</v>
      </c>
      <c r="E15" s="63">
        <v>4237.85986328125</v>
      </c>
      <c r="F15">
        <v>0.1809166216073427</v>
      </c>
      <c r="G15">
        <v>0.12913894057217509</v>
      </c>
      <c r="H15">
        <v>5.1777681035167611E-2</v>
      </c>
    </row>
    <row r="16" spans="1:8" x14ac:dyDescent="0.25">
      <c r="D16" s="36">
        <v>45232</v>
      </c>
      <c r="E16" s="63">
        <v>4317.77978515625</v>
      </c>
      <c r="F16">
        <v>0.17318294203126769</v>
      </c>
      <c r="G16">
        <v>0.1244327120196536</v>
      </c>
      <c r="H16">
        <v>4.875023001161409E-2</v>
      </c>
    </row>
    <row r="17" spans="4:8" x14ac:dyDescent="0.25">
      <c r="D17" s="36">
        <v>45233</v>
      </c>
      <c r="E17" s="63">
        <v>4358.33984375</v>
      </c>
      <c r="F17">
        <v>0.16919392159743116</v>
      </c>
      <c r="G17">
        <v>0.11850918228369253</v>
      </c>
      <c r="H17">
        <v>5.0684739313738625E-2</v>
      </c>
    </row>
    <row r="18" spans="4:8" x14ac:dyDescent="0.25">
      <c r="D18" s="36">
        <v>45236</v>
      </c>
      <c r="E18" s="63">
        <v>4365.97998046875</v>
      </c>
      <c r="F18">
        <v>0.16300989028975976</v>
      </c>
      <c r="G18">
        <v>0.11612546056537024</v>
      </c>
      <c r="H18">
        <v>4.6884429724389526E-2</v>
      </c>
    </row>
    <row r="19" spans="4:8" x14ac:dyDescent="0.25">
      <c r="D19" s="36">
        <v>45237</v>
      </c>
      <c r="E19" s="63">
        <v>4378.3798828125</v>
      </c>
      <c r="F19">
        <v>0.16190107899140102</v>
      </c>
      <c r="G19">
        <v>0.11590837580701875</v>
      </c>
      <c r="H19">
        <v>4.5992703184382269E-2</v>
      </c>
    </row>
    <row r="20" spans="4:8" x14ac:dyDescent="0.25">
      <c r="D20" s="36">
        <v>45238</v>
      </c>
      <c r="E20" s="63">
        <v>4382.77978515625</v>
      </c>
      <c r="F20">
        <v>0.15863806801621569</v>
      </c>
      <c r="G20">
        <v>0.11419194010807007</v>
      </c>
      <c r="H20">
        <v>4.4446127908145616E-2</v>
      </c>
    </row>
    <row r="21" spans="4:8" x14ac:dyDescent="0.25">
      <c r="D21" s="36">
        <v>45239</v>
      </c>
      <c r="E21" s="63">
        <v>4347.35009765625</v>
      </c>
      <c r="F21">
        <v>0.16590945311939789</v>
      </c>
      <c r="G21">
        <v>0.11781126872821984</v>
      </c>
      <c r="H21">
        <v>4.809818439117805E-2</v>
      </c>
    </row>
    <row r="22" spans="4:8" x14ac:dyDescent="0.25">
      <c r="D22" s="36">
        <v>45240</v>
      </c>
      <c r="E22" s="63">
        <v>4415.240234375</v>
      </c>
      <c r="F22">
        <v>0.15439771232898228</v>
      </c>
      <c r="G22">
        <v>0.11139835284809084</v>
      </c>
      <c r="H22">
        <v>4.2999359480891439E-2</v>
      </c>
    </row>
    <row r="23" spans="4:8" x14ac:dyDescent="0.25">
      <c r="D23" s="36"/>
      <c r="E23" s="36"/>
    </row>
    <row r="24" spans="4:8" x14ac:dyDescent="0.25">
      <c r="D24" s="36"/>
      <c r="E24" s="36"/>
    </row>
    <row r="25" spans="4:8" x14ac:dyDescent="0.25">
      <c r="D25" s="36"/>
      <c r="E25" s="36"/>
    </row>
    <row r="26" spans="4:8" x14ac:dyDescent="0.25">
      <c r="D26" s="36"/>
      <c r="E26" s="36"/>
    </row>
    <row r="27" spans="4:8" x14ac:dyDescent="0.25">
      <c r="D27" s="36"/>
      <c r="E27" s="36"/>
    </row>
    <row r="28" spans="4:8" x14ac:dyDescent="0.25">
      <c r="D28" s="36"/>
      <c r="E28" s="36"/>
    </row>
    <row r="29" spans="4:8" x14ac:dyDescent="0.25">
      <c r="D29" s="36"/>
      <c r="E29" s="3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4C3C0-7C3F-45A8-AD78-674453D5E2E6}">
  <sheetPr codeName="Sheet2"/>
  <dimension ref="A1:D13"/>
  <sheetViews>
    <sheetView workbookViewId="0">
      <selection activeCell="A12" sqref="A12:A1048576"/>
    </sheetView>
  </sheetViews>
  <sheetFormatPr defaultRowHeight="15" x14ac:dyDescent="0.25"/>
  <cols>
    <col min="1" max="1" width="10.7109375" bestFit="1" customWidth="1"/>
  </cols>
  <sheetData>
    <row r="1" spans="1:4" x14ac:dyDescent="0.25">
      <c r="A1" s="6"/>
      <c r="B1" s="30"/>
      <c r="C1" s="59">
        <v>-0.1</v>
      </c>
      <c r="D1" s="56">
        <v>0.1</v>
      </c>
    </row>
    <row r="2" spans="1:4" x14ac:dyDescent="0.25">
      <c r="A2" t="s">
        <v>5</v>
      </c>
      <c r="B2">
        <v>30</v>
      </c>
    </row>
    <row r="3" spans="1:4" x14ac:dyDescent="0.25">
      <c r="A3" t="s">
        <v>11</v>
      </c>
      <c r="B3">
        <v>60</v>
      </c>
    </row>
    <row r="4" spans="1:4" x14ac:dyDescent="0.25">
      <c r="A4" t="s">
        <v>6</v>
      </c>
      <c r="B4">
        <v>90</v>
      </c>
    </row>
    <row r="5" spans="1:4" x14ac:dyDescent="0.25">
      <c r="A5" t="s">
        <v>7</v>
      </c>
      <c r="B5">
        <v>180</v>
      </c>
    </row>
    <row r="6" spans="1:4" x14ac:dyDescent="0.25">
      <c r="A6" t="s">
        <v>8</v>
      </c>
      <c r="B6">
        <v>360</v>
      </c>
    </row>
    <row r="7" spans="1:4" x14ac:dyDescent="0.25">
      <c r="A7" t="s">
        <v>9</v>
      </c>
      <c r="B7">
        <v>720</v>
      </c>
    </row>
    <row r="10" spans="1:4" x14ac:dyDescent="0.25">
      <c r="A10" s="36"/>
    </row>
    <row r="13" spans="1:4" x14ac:dyDescent="0.25">
      <c r="A13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VolScreen</vt:lpstr>
      <vt:lpstr>Skew</vt:lpstr>
      <vt:lpstr>Setting</vt:lpstr>
      <vt:lpstr>RngRefresh</vt:lpstr>
      <vt:lpstr>RngSkew</vt:lpstr>
      <vt:lpstr>RngSkewChg</vt:lpstr>
      <vt:lpstr>RngTable</vt:lpstr>
      <vt:lpstr>RngTableDates</vt:lpstr>
      <vt:lpstr>RngVol</vt:lpstr>
      <vt:lpstr>RngVolChg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hoichun law</dc:creator>
  <cp:lastModifiedBy>hoichun law</cp:lastModifiedBy>
  <dcterms:created xsi:type="dcterms:W3CDTF">2023-11-05T09:23:31Z</dcterms:created>
  <dcterms:modified xsi:type="dcterms:W3CDTF">2023-11-12T18:38:07Z</dcterms:modified>
</cp:coreProperties>
</file>