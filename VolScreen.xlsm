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56F2CD42-4648-4B39-AB7A-9097B68194AB}" xr6:coauthVersionLast="47" xr6:coauthVersionMax="47" xr10:uidLastSave="{00000000-0000-0000-0000-000000000000}"/>
  <bookViews>
    <workbookView xWindow="-120" yWindow="-120" windowWidth="51840" windowHeight="21120" xr2:uid="{F7462C2D-ABD8-4D1D-88EA-4CC70B947BDD}"/>
  </bookViews>
  <sheets>
    <sheet name="VolScreen" sheetId="1" r:id="rId1"/>
    <sheet name="Setting" sheetId="2" r:id="rId2"/>
  </sheets>
  <functionGroups builtInGroupCount="19"/>
  <definedNames>
    <definedName name="RngRefresh">VolScreen!$B$6</definedName>
    <definedName name="RngTable">VolScreen!$B$8</definedName>
    <definedName name="RngTableDates">VolScreen!$B$2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2" i="1" l="1"/>
  <c r="AV12" i="1"/>
  <c r="AW12" i="1"/>
  <c r="AX12" i="1"/>
  <c r="AY12" i="1"/>
  <c r="AU13" i="1"/>
  <c r="AV13" i="1"/>
  <c r="AW13" i="1"/>
  <c r="AX13" i="1"/>
  <c r="AY13" i="1"/>
  <c r="AU14" i="1"/>
  <c r="AV14" i="1"/>
  <c r="AW14" i="1"/>
  <c r="AX14" i="1"/>
  <c r="AY14" i="1"/>
  <c r="AU10" i="1"/>
  <c r="BD14" i="1"/>
  <c r="BC14" i="1"/>
  <c r="BB14" i="1"/>
  <c r="BA14" i="1"/>
  <c r="AZ14" i="1"/>
  <c r="BD13" i="1"/>
  <c r="BC13" i="1"/>
  <c r="BB13" i="1"/>
  <c r="BA13" i="1"/>
  <c r="AZ13" i="1"/>
  <c r="BD12" i="1"/>
  <c r="BC12" i="1"/>
  <c r="BB12" i="1"/>
  <c r="BA12" i="1"/>
  <c r="AZ12" i="1"/>
  <c r="BD11" i="1"/>
  <c r="BC11" i="1"/>
  <c r="BB11" i="1"/>
  <c r="BA11" i="1"/>
  <c r="AZ11" i="1"/>
  <c r="AY11" i="1"/>
  <c r="AX11" i="1"/>
  <c r="AW11" i="1"/>
  <c r="AV11" i="1"/>
  <c r="AU11" i="1"/>
  <c r="BD10" i="1"/>
  <c r="BC10" i="1"/>
  <c r="BB10" i="1"/>
  <c r="BA10" i="1"/>
  <c r="AZ10" i="1"/>
  <c r="AY10" i="1"/>
  <c r="AX10" i="1"/>
  <c r="AW10" i="1"/>
  <c r="AV10" i="1"/>
  <c r="BD9" i="1"/>
  <c r="BC9" i="1"/>
  <c r="BB9" i="1"/>
  <c r="BA9" i="1"/>
  <c r="AZ9" i="1"/>
  <c r="AY9" i="1"/>
  <c r="AX9" i="1"/>
  <c r="AW9" i="1"/>
  <c r="AV9" i="1"/>
  <c r="AU9" i="1"/>
  <c r="BJ24" i="1"/>
  <c r="BI24" i="1"/>
  <c r="BH24" i="1"/>
  <c r="BG24" i="1"/>
  <c r="BJ23" i="1"/>
  <c r="BI23" i="1"/>
  <c r="BH23" i="1"/>
  <c r="BG23" i="1"/>
  <c r="BJ22" i="1"/>
  <c r="BI22" i="1"/>
  <c r="BH22" i="1"/>
  <c r="BG22" i="1"/>
  <c r="BJ21" i="1"/>
  <c r="BI21" i="1"/>
  <c r="BH21" i="1"/>
  <c r="BG21" i="1"/>
  <c r="BJ20" i="1"/>
  <c r="BI20" i="1"/>
  <c r="BH20" i="1"/>
  <c r="BG20" i="1"/>
  <c r="BJ19" i="1"/>
  <c r="BI19" i="1"/>
  <c r="BH19" i="1"/>
  <c r="BG19" i="1"/>
  <c r="BJ18" i="1"/>
  <c r="BI18" i="1"/>
  <c r="BH18" i="1"/>
  <c r="BG18" i="1"/>
  <c r="BJ17" i="1"/>
  <c r="BI17" i="1"/>
  <c r="BH17" i="1"/>
  <c r="BG17" i="1"/>
  <c r="BJ16" i="1"/>
  <c r="BI16" i="1"/>
  <c r="BH16" i="1"/>
  <c r="BG16" i="1"/>
  <c r="BJ15" i="1"/>
  <c r="BI15" i="1"/>
  <c r="BH15" i="1"/>
  <c r="BG15" i="1"/>
  <c r="BJ14" i="1"/>
  <c r="BJ13" i="1"/>
  <c r="BJ12" i="1"/>
  <c r="BJ11" i="1"/>
  <c r="BJ10" i="1"/>
  <c r="BJ9" i="1"/>
  <c r="BH14" i="1"/>
  <c r="BH13" i="1"/>
  <c r="BH12" i="1"/>
  <c r="BH11" i="1"/>
  <c r="BH10" i="1"/>
  <c r="BH9" i="1"/>
  <c r="BI14" i="1"/>
  <c r="BG14" i="1"/>
  <c r="BI13" i="1"/>
  <c r="BG13" i="1"/>
  <c r="BI12" i="1"/>
  <c r="BG12" i="1"/>
  <c r="BI11" i="1"/>
  <c r="BG11" i="1"/>
  <c r="BI10" i="1"/>
  <c r="BG10" i="1"/>
  <c r="BI9" i="1"/>
  <c r="BG9" i="1"/>
  <c r="V11" i="1"/>
  <c r="W11" i="1"/>
  <c r="X11" i="1"/>
  <c r="Y11" i="1"/>
  <c r="Z11" i="1"/>
  <c r="V12" i="1"/>
  <c r="W12" i="1"/>
  <c r="X12" i="1"/>
  <c r="Y12" i="1"/>
  <c r="Z12" i="1"/>
  <c r="AD14" i="1"/>
  <c r="AC14" i="1"/>
  <c r="AB14" i="1"/>
  <c r="AA14" i="1"/>
  <c r="AA13" i="1"/>
  <c r="C2" i="1"/>
  <c r="C4" i="1" s="1"/>
  <c r="AE10" i="1"/>
  <c r="AD10" i="1"/>
  <c r="AC10" i="1"/>
  <c r="AB10" i="1"/>
  <c r="AA10" i="1"/>
  <c r="Z10" i="1"/>
  <c r="Y10" i="1"/>
  <c r="X10" i="1"/>
  <c r="W10" i="1"/>
  <c r="V10" i="1"/>
  <c r="AE9" i="1"/>
  <c r="AD9" i="1"/>
  <c r="AC9" i="1"/>
  <c r="AB9" i="1"/>
  <c r="AA9" i="1"/>
  <c r="Z9" i="1"/>
  <c r="Y9" i="1"/>
  <c r="X9" i="1"/>
  <c r="W9" i="1"/>
  <c r="V9" i="1"/>
  <c r="AA11" i="1"/>
  <c r="AB11" i="1"/>
  <c r="AC11" i="1"/>
  <c r="AD11" i="1"/>
  <c r="AE11" i="1"/>
  <c r="V14" i="1"/>
  <c r="AC13" i="1"/>
  <c r="AC12" i="1"/>
  <c r="AD13" i="1"/>
  <c r="AD12" i="1"/>
  <c r="AE14" i="1"/>
  <c r="AE13" i="1"/>
  <c r="AE12" i="1"/>
  <c r="AB13" i="1"/>
  <c r="AB12" i="1"/>
  <c r="AA12" i="1"/>
  <c r="V13" i="1"/>
  <c r="Z14" i="1"/>
  <c r="Z13" i="1"/>
  <c r="C3" i="1" l="1"/>
  <c r="Y14" i="1"/>
  <c r="X14" i="1"/>
  <c r="X13" i="1"/>
  <c r="Y13" i="1"/>
  <c r="W13" i="1"/>
  <c r="W14" i="1"/>
</calcChain>
</file>

<file path=xl/sharedStrings.xml><?xml version="1.0" encoding="utf-8"?>
<sst xmlns="http://schemas.openxmlformats.org/spreadsheetml/2006/main" count="92" uniqueCount="38">
  <si>
    <t>undlName</t>
  </si>
  <si>
    <t>.SPX</t>
  </si>
  <si>
    <t>QQQ.P</t>
  </si>
  <si>
    <t>IWM.P</t>
  </si>
  <si>
    <t>Vol</t>
  </si>
  <si>
    <t>1M</t>
  </si>
  <si>
    <t>3M</t>
  </si>
  <si>
    <t>6M</t>
  </si>
  <si>
    <t>12M</t>
  </si>
  <si>
    <t>24M</t>
  </si>
  <si>
    <t>Vol T-1</t>
  </si>
  <si>
    <t>2M</t>
  </si>
  <si>
    <t>Spot</t>
  </si>
  <si>
    <t>Spot T-1</t>
  </si>
  <si>
    <t>Spot T-7</t>
  </si>
  <si>
    <t>Ref Date</t>
  </si>
  <si>
    <t>TQQQ.P</t>
  </si>
  <si>
    <t>Vol T-7</t>
  </si>
  <si>
    <t>Vol Change 7D</t>
  </si>
  <si>
    <t>Refresh</t>
  </si>
  <si>
    <t>Category</t>
  </si>
  <si>
    <t>US Index</t>
  </si>
  <si>
    <t>Skew T-1 (90% - 110%)</t>
  </si>
  <si>
    <t>Skew T-7 (90% - 110%)</t>
  </si>
  <si>
    <t>Skew Change 7D</t>
  </si>
  <si>
    <t>ETH</t>
  </si>
  <si>
    <t>BTC</t>
  </si>
  <si>
    <t>Crypto</t>
  </si>
  <si>
    <t>Vol Change 30D</t>
  </si>
  <si>
    <t>Skew</t>
  </si>
  <si>
    <t>Skew Change 30D</t>
  </si>
  <si>
    <t>Ref Date 3</t>
  </si>
  <si>
    <t>Ref Date 2</t>
  </si>
  <si>
    <t>Highlight</t>
  </si>
  <si>
    <t>lower 1</t>
  </si>
  <si>
    <t>upper 1</t>
  </si>
  <si>
    <t>lower 2</t>
  </si>
  <si>
    <t>upper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</si>
</sst>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3" borderId="0" xfId="0" applyFill="1"/>
    <xf numFmtId="15" fontId="0" fillId="3" borderId="1" xfId="0" applyNumberFormat="1" applyFill="1" applyBorder="1"/>
    <xf numFmtId="15" fontId="0" fillId="3" borderId="0" xfId="0" applyNumberFormat="1" applyFill="1"/>
    <xf numFmtId="0" fontId="3" fillId="3" borderId="0" xfId="0" applyFont="1" applyFill="1"/>
    <xf numFmtId="15" fontId="3" fillId="3" borderId="0" xfId="0" applyNumberFormat="1" applyFont="1" applyFill="1"/>
    <xf numFmtId="0" fontId="0" fillId="3" borderId="2" xfId="0" applyFill="1" applyBorder="1"/>
    <xf numFmtId="43" fontId="0" fillId="3" borderId="0" xfId="1" applyFont="1" applyFill="1" applyBorder="1"/>
    <xf numFmtId="164" fontId="0" fillId="3" borderId="0" xfId="2" applyNumberFormat="1" applyFont="1" applyFill="1" applyBorder="1"/>
    <xf numFmtId="164" fontId="0" fillId="3" borderId="0" xfId="0" applyNumberFormat="1" applyFill="1"/>
    <xf numFmtId="164" fontId="0" fillId="3" borderId="3" xfId="0" applyNumberFormat="1" applyFill="1" applyBorder="1"/>
    <xf numFmtId="0" fontId="0" fillId="3" borderId="3" xfId="0" applyFill="1" applyBorder="1"/>
    <xf numFmtId="0" fontId="2" fillId="2" borderId="1" xfId="0" applyFont="1" applyFill="1" applyBorder="1"/>
    <xf numFmtId="0" fontId="0" fillId="4" borderId="2" xfId="0" applyFill="1" applyBorder="1"/>
    <xf numFmtId="43" fontId="0" fillId="4" borderId="0" xfId="1" applyFont="1" applyFill="1" applyBorder="1"/>
    <xf numFmtId="164" fontId="0" fillId="4" borderId="0" xfId="2" applyNumberFormat="1" applyFont="1" applyFill="1" applyBorder="1"/>
    <xf numFmtId="164" fontId="0" fillId="4" borderId="0" xfId="0" applyNumberFormat="1" applyFill="1"/>
    <xf numFmtId="164" fontId="0" fillId="4" borderId="3" xfId="0" applyNumberFormat="1" applyFill="1" applyBorder="1"/>
    <xf numFmtId="0" fontId="3" fillId="5" borderId="1" xfId="0" applyFont="1" applyFill="1" applyBorder="1"/>
    <xf numFmtId="0" fontId="2" fillId="2" borderId="5" xfId="0" applyFont="1" applyFill="1" applyBorder="1" applyAlignment="1">
      <alignment horizontal="centerContinuous"/>
    </xf>
    <xf numFmtId="0" fontId="2" fillId="2" borderId="6" xfId="0" applyFont="1" applyFill="1" applyBorder="1" applyAlignment="1">
      <alignment horizontal="centerContinuous"/>
    </xf>
    <xf numFmtId="0" fontId="2" fillId="2" borderId="4" xfId="0" applyFont="1" applyFill="1" applyBorder="1" applyAlignment="1">
      <alignment horizontal="centerContinuous"/>
    </xf>
    <xf numFmtId="164" fontId="0" fillId="3" borderId="2" xfId="0" applyNumberFormat="1" applyFill="1" applyBorder="1"/>
    <xf numFmtId="164" fontId="0" fillId="4" borderId="2" xfId="0" applyNumberFormat="1" applyFill="1" applyBorder="1"/>
    <xf numFmtId="164" fontId="1" fillId="3" borderId="0" xfId="2" applyNumberFormat="1" applyFont="1" applyFill="1" applyBorder="1"/>
    <xf numFmtId="164" fontId="1" fillId="4" borderId="0" xfId="2" applyNumberFormat="1" applyFont="1" applyFill="1" applyBorder="1"/>
    <xf numFmtId="164" fontId="1" fillId="3" borderId="2" xfId="2" applyNumberFormat="1" applyFont="1" applyFill="1" applyBorder="1"/>
    <xf numFmtId="164" fontId="1" fillId="3" borderId="3" xfId="2" applyNumberFormat="1" applyFont="1" applyFill="1" applyBorder="1"/>
    <xf numFmtId="164" fontId="1" fillId="4" borderId="2" xfId="2" applyNumberFormat="1" applyFont="1" applyFill="1" applyBorder="1"/>
    <xf numFmtId="164" fontId="1" fillId="4" borderId="3" xfId="2" applyNumberFormat="1" applyFont="1" applyFill="1" applyBorder="1"/>
    <xf numFmtId="0" fontId="0" fillId="4" borderId="0" xfId="0" applyFill="1"/>
    <xf numFmtId="15" fontId="0" fillId="0" borderId="0" xfId="0" applyNumberFormat="1"/>
    <xf numFmtId="2" fontId="0" fillId="3" borderId="0" xfId="1" applyNumberFormat="1" applyFont="1" applyFill="1" applyBorder="1"/>
    <xf numFmtId="2" fontId="0" fillId="4" borderId="0" xfId="1" applyNumberFormat="1" applyFont="1" applyFill="1" applyBorder="1"/>
    <xf numFmtId="0" fontId="3" fillId="3" borderId="2" xfId="0" applyFont="1" applyFill="1" applyBorder="1"/>
    <xf numFmtId="0" fontId="3" fillId="4" borderId="2" xfId="0" applyFont="1" applyFill="1" applyBorder="1"/>
    <xf numFmtId="0" fontId="0" fillId="3" borderId="0" xfId="0" applyFill="1" applyBorder="1"/>
    <xf numFmtId="164" fontId="0" fillId="3" borderId="0" xfId="0" applyNumberFormat="1" applyFill="1" applyBorder="1"/>
    <xf numFmtId="0" fontId="0" fillId="4" borderId="0" xfId="0" applyFill="1" applyBorder="1"/>
    <xf numFmtId="164" fontId="0" fillId="4" borderId="0" xfId="0" applyNumberFormat="1" applyFill="1" applyBorder="1"/>
    <xf numFmtId="10" fontId="0" fillId="3" borderId="0" xfId="2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12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9A0B-5474-43CF-A1A6-08BBF73CEABD}">
  <sheetPr codeName="SheetVol"/>
  <dimension ref="A2:BJ73"/>
  <sheetViews>
    <sheetView tabSelected="1" zoomScaleNormal="100" workbookViewId="0">
      <selection activeCell="AV19" sqref="AV19"/>
    </sheetView>
  </sheetViews>
  <sheetFormatPr defaultRowHeight="15" x14ac:dyDescent="0.25"/>
  <cols>
    <col min="1" max="1" width="1.28515625" style="6" customWidth="1"/>
    <col min="2" max="2" width="13.7109375" style="6" customWidth="1"/>
    <col min="3" max="3" width="12.42578125" style="6" customWidth="1"/>
    <col min="4" max="6" width="9.5703125" style="6" hidden="1" customWidth="1"/>
    <col min="7" max="11" width="6.85546875" style="6" customWidth="1"/>
    <col min="12" max="21" width="6.85546875" style="6" hidden="1" customWidth="1"/>
    <col min="22" max="36" width="6.85546875" style="6" customWidth="1"/>
    <col min="37" max="46" width="6.85546875" style="6" hidden="1" customWidth="1"/>
    <col min="47" max="56" width="6.85546875" style="6" customWidth="1"/>
    <col min="57" max="16384" width="9.140625" style="6"/>
  </cols>
  <sheetData>
    <row r="2" spans="1:62" x14ac:dyDescent="0.25">
      <c r="B2" s="17" t="s">
        <v>15</v>
      </c>
      <c r="C2" s="7">
        <f ca="1">TODAY()</f>
        <v>45242</v>
      </c>
    </row>
    <row r="3" spans="1:62" x14ac:dyDescent="0.25">
      <c r="B3" s="17" t="s">
        <v>32</v>
      </c>
      <c r="C3" s="7">
        <f ca="1">C2-7</f>
        <v>45235</v>
      </c>
    </row>
    <row r="4" spans="1:62" x14ac:dyDescent="0.25">
      <c r="B4" s="17" t="s">
        <v>31</v>
      </c>
      <c r="C4" s="7">
        <f ca="1">C2-30</f>
        <v>45212</v>
      </c>
    </row>
    <row r="5" spans="1:62" x14ac:dyDescent="0.25">
      <c r="D5" s="8"/>
    </row>
    <row r="6" spans="1:62" x14ac:dyDescent="0.25">
      <c r="B6" s="23" t="s">
        <v>19</v>
      </c>
    </row>
    <row r="7" spans="1:62" s="9" customFormat="1" x14ac:dyDescent="0.25">
      <c r="B7" s="1"/>
      <c r="C7" s="2"/>
      <c r="D7" s="2"/>
      <c r="E7" s="2"/>
      <c r="F7" s="2"/>
      <c r="G7" s="26" t="s">
        <v>4</v>
      </c>
      <c r="H7" s="24"/>
      <c r="I7" s="24"/>
      <c r="J7" s="24"/>
      <c r="K7" s="25"/>
      <c r="L7" s="24" t="s">
        <v>10</v>
      </c>
      <c r="M7" s="24"/>
      <c r="N7" s="24"/>
      <c r="O7" s="24"/>
      <c r="P7" s="24"/>
      <c r="Q7" s="24" t="s">
        <v>17</v>
      </c>
      <c r="R7" s="24"/>
      <c r="S7" s="24"/>
      <c r="T7" s="24"/>
      <c r="U7" s="24"/>
      <c r="V7" s="26" t="s">
        <v>18</v>
      </c>
      <c r="W7" s="24"/>
      <c r="X7" s="24"/>
      <c r="Y7" s="24"/>
      <c r="Z7" s="25"/>
      <c r="AA7" s="24" t="s">
        <v>28</v>
      </c>
      <c r="AB7" s="24"/>
      <c r="AC7" s="24"/>
      <c r="AD7" s="24"/>
      <c r="AE7" s="25"/>
      <c r="AF7" s="24" t="s">
        <v>29</v>
      </c>
      <c r="AG7" s="24"/>
      <c r="AH7" s="24"/>
      <c r="AI7" s="24"/>
      <c r="AJ7" s="25"/>
      <c r="AK7" s="24" t="s">
        <v>22</v>
      </c>
      <c r="AL7" s="24"/>
      <c r="AM7" s="24"/>
      <c r="AN7" s="24"/>
      <c r="AO7" s="25"/>
      <c r="AP7" s="24" t="s">
        <v>23</v>
      </c>
      <c r="AQ7" s="24"/>
      <c r="AR7" s="24"/>
      <c r="AS7" s="24"/>
      <c r="AT7" s="25"/>
      <c r="AU7" s="26" t="s">
        <v>24</v>
      </c>
      <c r="AV7" s="24"/>
      <c r="AW7" s="24"/>
      <c r="AX7" s="24"/>
      <c r="AY7" s="25"/>
      <c r="AZ7" s="24" t="s">
        <v>30</v>
      </c>
      <c r="BA7" s="24"/>
      <c r="BB7" s="24"/>
      <c r="BC7" s="24"/>
      <c r="BD7" s="25"/>
      <c r="BG7" s="9" t="s">
        <v>33</v>
      </c>
    </row>
    <row r="8" spans="1:62" s="9" customFormat="1" x14ac:dyDescent="0.25">
      <c r="A8" s="10"/>
      <c r="B8" s="3" t="s">
        <v>0</v>
      </c>
      <c r="C8" s="4" t="s">
        <v>20</v>
      </c>
      <c r="D8" s="4" t="s">
        <v>12</v>
      </c>
      <c r="E8" s="4" t="s">
        <v>13</v>
      </c>
      <c r="F8" s="4" t="s">
        <v>14</v>
      </c>
      <c r="G8" s="3" t="s">
        <v>5</v>
      </c>
      <c r="H8" s="4" t="s">
        <v>6</v>
      </c>
      <c r="I8" s="4" t="s">
        <v>7</v>
      </c>
      <c r="J8" s="4" t="s">
        <v>8</v>
      </c>
      <c r="K8" s="5" t="s">
        <v>9</v>
      </c>
      <c r="L8" s="4" t="s">
        <v>5</v>
      </c>
      <c r="M8" s="4" t="s">
        <v>6</v>
      </c>
      <c r="N8" s="4" t="s">
        <v>7</v>
      </c>
      <c r="O8" s="4" t="s">
        <v>8</v>
      </c>
      <c r="P8" s="4" t="s">
        <v>9</v>
      </c>
      <c r="Q8" s="4" t="s">
        <v>5</v>
      </c>
      <c r="R8" s="4" t="s">
        <v>6</v>
      </c>
      <c r="S8" s="4" t="s">
        <v>7</v>
      </c>
      <c r="T8" s="4" t="s">
        <v>8</v>
      </c>
      <c r="U8" s="4" t="s">
        <v>9</v>
      </c>
      <c r="V8" s="3" t="s">
        <v>5</v>
      </c>
      <c r="W8" s="4" t="s">
        <v>6</v>
      </c>
      <c r="X8" s="4" t="s">
        <v>7</v>
      </c>
      <c r="Y8" s="4" t="s">
        <v>8</v>
      </c>
      <c r="Z8" s="5" t="s">
        <v>9</v>
      </c>
      <c r="AA8" s="4" t="s">
        <v>5</v>
      </c>
      <c r="AB8" s="4" t="s">
        <v>6</v>
      </c>
      <c r="AC8" s="4" t="s">
        <v>7</v>
      </c>
      <c r="AD8" s="4" t="s">
        <v>8</v>
      </c>
      <c r="AE8" s="5" t="s">
        <v>9</v>
      </c>
      <c r="AF8" s="4" t="s">
        <v>5</v>
      </c>
      <c r="AG8" s="4" t="s">
        <v>6</v>
      </c>
      <c r="AH8" s="4" t="s">
        <v>7</v>
      </c>
      <c r="AI8" s="4" t="s">
        <v>8</v>
      </c>
      <c r="AJ8" s="5" t="s">
        <v>9</v>
      </c>
      <c r="AK8" s="4" t="s">
        <v>5</v>
      </c>
      <c r="AL8" s="4" t="s">
        <v>6</v>
      </c>
      <c r="AM8" s="4" t="s">
        <v>7</v>
      </c>
      <c r="AN8" s="4" t="s">
        <v>8</v>
      </c>
      <c r="AO8" s="5" t="s">
        <v>9</v>
      </c>
      <c r="AP8" s="4" t="s">
        <v>5</v>
      </c>
      <c r="AQ8" s="4" t="s">
        <v>6</v>
      </c>
      <c r="AR8" s="4" t="s">
        <v>7</v>
      </c>
      <c r="AS8" s="4" t="s">
        <v>8</v>
      </c>
      <c r="AT8" s="5" t="s">
        <v>9</v>
      </c>
      <c r="AU8" s="3" t="s">
        <v>5</v>
      </c>
      <c r="AV8" s="4" t="s">
        <v>6</v>
      </c>
      <c r="AW8" s="4" t="s">
        <v>7</v>
      </c>
      <c r="AX8" s="4" t="s">
        <v>8</v>
      </c>
      <c r="AY8" s="5" t="s">
        <v>9</v>
      </c>
      <c r="AZ8" s="4" t="s">
        <v>5</v>
      </c>
      <c r="BA8" s="4" t="s">
        <v>6</v>
      </c>
      <c r="BB8" s="4" t="s">
        <v>7</v>
      </c>
      <c r="BC8" s="4" t="s">
        <v>8</v>
      </c>
      <c r="BD8" s="5" t="s">
        <v>9</v>
      </c>
      <c r="BG8" s="9" t="s">
        <v>34</v>
      </c>
      <c r="BH8" s="9" t="s">
        <v>35</v>
      </c>
      <c r="BI8" s="9" t="s">
        <v>36</v>
      </c>
      <c r="BJ8" s="9" t="s">
        <v>37</v>
      </c>
    </row>
    <row r="9" spans="1:62" x14ac:dyDescent="0.25">
      <c r="B9" s="39" t="s">
        <v>25</v>
      </c>
      <c r="C9" s="6" t="s">
        <v>27</v>
      </c>
      <c r="D9" s="37">
        <v>2054.660888671875</v>
      </c>
      <c r="E9" s="37">
        <v>1894.15771484375</v>
      </c>
      <c r="F9" s="37">
        <v>1552.0894775390625</v>
      </c>
      <c r="G9" s="31">
        <v>0.55538546772652453</v>
      </c>
      <c r="H9" s="29">
        <v>0.58692799595244449</v>
      </c>
      <c r="I9" s="29">
        <v>0.59474771362044643</v>
      </c>
      <c r="J9" s="29">
        <v>0.5944855324122198</v>
      </c>
      <c r="K9" s="32">
        <v>0.59415173345489936</v>
      </c>
      <c r="L9" s="13">
        <v>0.5729347125546167</v>
      </c>
      <c r="M9" s="13">
        <v>0.59890281715074167</v>
      </c>
      <c r="N9" s="13">
        <v>0.60829221636298381</v>
      </c>
      <c r="O9" s="13">
        <v>0.57342087458330127</v>
      </c>
      <c r="P9" s="13">
        <v>0.57218723387583192</v>
      </c>
      <c r="Q9" s="13">
        <v>0.29563355534827024</v>
      </c>
      <c r="R9" s="13">
        <v>0.33955676509292926</v>
      </c>
      <c r="S9" s="13">
        <v>0.41159687863142053</v>
      </c>
      <c r="T9" s="13">
        <v>0.45688897683460239</v>
      </c>
      <c r="U9" s="13">
        <v>0.45718290086588315</v>
      </c>
      <c r="V9" s="27">
        <f>G9-L9</f>
        <v>-1.754924482809217E-2</v>
      </c>
      <c r="W9" s="14">
        <f t="shared" ref="W9:W10" si="0">H9-M9</f>
        <v>-1.1974821198297181E-2</v>
      </c>
      <c r="X9" s="14">
        <f t="shared" ref="X9:X10" si="1">I9-N9</f>
        <v>-1.3544502742537379E-2</v>
      </c>
      <c r="Y9" s="14">
        <f t="shared" ref="Y9:Y10" si="2">J9-O9</f>
        <v>2.1064657828918532E-2</v>
      </c>
      <c r="Z9" s="15">
        <f t="shared" ref="Z9:Z10" si="3">K9-P9</f>
        <v>2.1964499579067431E-2</v>
      </c>
      <c r="AA9" s="27">
        <f t="shared" ref="AA9:AA10" si="4">G9-Q9</f>
        <v>0.25975191237825429</v>
      </c>
      <c r="AB9" s="14">
        <f t="shared" ref="AB9:AB10" si="5">H9-R9</f>
        <v>0.24737123085951523</v>
      </c>
      <c r="AC9" s="14">
        <f t="shared" ref="AC9:AC10" si="6">I9-S9</f>
        <v>0.1831508349890259</v>
      </c>
      <c r="AD9" s="14">
        <f t="shared" ref="AD9:AD10" si="7">J9-T9</f>
        <v>0.13759655557761741</v>
      </c>
      <c r="AE9" s="15">
        <f t="shared" ref="AE9:AE10" si="8">K9-U9</f>
        <v>0.13696883258901621</v>
      </c>
      <c r="AF9" s="31">
        <v>-5.4441713553349369E-2</v>
      </c>
      <c r="AG9" s="14">
        <v>-6.1062247917768375E-2</v>
      </c>
      <c r="AH9" s="14">
        <v>-6.4753480422904075E-2</v>
      </c>
      <c r="AI9" s="14">
        <v>-8.9319798863747635E-2</v>
      </c>
      <c r="AJ9" s="15">
        <v>-0.11438204319953926</v>
      </c>
      <c r="AK9" s="13">
        <v>-0.1050375291993102</v>
      </c>
      <c r="AL9" s="14">
        <v>-0.10650356313718579</v>
      </c>
      <c r="AM9" s="14">
        <v>-0.11149471641116837</v>
      </c>
      <c r="AN9" s="14">
        <v>-0.11647583547700224</v>
      </c>
      <c r="AO9" s="15">
        <v>-0.14690304269552468</v>
      </c>
      <c r="AP9" s="13">
        <v>3.9742937132892786E-2</v>
      </c>
      <c r="AQ9" s="14">
        <v>2.2951756341181462E-2</v>
      </c>
      <c r="AR9" s="14">
        <v>-1.9262711983827674E-2</v>
      </c>
      <c r="AS9" s="14">
        <v>-7.0292455861516445E-2</v>
      </c>
      <c r="AT9" s="15">
        <v>-9.8911147745423866E-2</v>
      </c>
      <c r="AU9" s="27">
        <f>AF9-AK9</f>
        <v>5.0595815645960829E-2</v>
      </c>
      <c r="AV9" s="14">
        <f t="shared" ref="AV9:AV14" si="9">AG9-AL9</f>
        <v>4.5441315219417411E-2</v>
      </c>
      <c r="AW9" s="14">
        <f t="shared" ref="AW9:AW14" si="10">AH9-AM9</f>
        <v>4.6741235988264296E-2</v>
      </c>
      <c r="AX9" s="14">
        <f t="shared" ref="AX9:AX14" si="11">AI9-AN9</f>
        <v>2.7156036613254608E-2</v>
      </c>
      <c r="AY9" s="15">
        <f t="shared" ref="AY9:AY14" si="12">AJ9-AO9</f>
        <v>3.2520999495985414E-2</v>
      </c>
      <c r="AZ9" s="27">
        <f t="shared" ref="AZ9:AZ12" si="13">AF9-AP9</f>
        <v>-9.4184650686242155E-2</v>
      </c>
      <c r="BA9" s="14">
        <f t="shared" ref="BA9:BA13" si="14">AG9-AQ9</f>
        <v>-8.4014004258949837E-2</v>
      </c>
      <c r="BB9" s="14">
        <f t="shared" ref="BB9:BB13" si="15">AH9-AR9</f>
        <v>-4.5490768439076401E-2</v>
      </c>
      <c r="BC9" s="14">
        <f t="shared" ref="BC9:BC13" si="16">AI9-AS9</f>
        <v>-1.902734300223119E-2</v>
      </c>
      <c r="BD9" s="15">
        <f t="shared" ref="BD9:BD14" si="17">AJ9-AT9</f>
        <v>-1.5470895454115396E-2</v>
      </c>
      <c r="BG9" s="45">
        <f>-G9*0.05</f>
        <v>-2.7769273386326229E-2</v>
      </c>
      <c r="BH9" s="45">
        <f>G9*0.05</f>
        <v>2.7769273386326229E-2</v>
      </c>
      <c r="BI9" s="45">
        <f>-0.1*I9</f>
        <v>-5.9474771362044647E-2</v>
      </c>
      <c r="BJ9" s="45">
        <f>0.1*I9</f>
        <v>5.9474771362044647E-2</v>
      </c>
    </row>
    <row r="10" spans="1:62" x14ac:dyDescent="0.25">
      <c r="B10" s="40" t="s">
        <v>26</v>
      </c>
      <c r="C10" s="43" t="s">
        <v>27</v>
      </c>
      <c r="D10" s="38">
        <v>37165.37109375</v>
      </c>
      <c r="E10" s="38">
        <v>35049.35546875</v>
      </c>
      <c r="F10" s="38">
        <v>26862.375</v>
      </c>
      <c r="G10" s="33">
        <v>0.53787552026928864</v>
      </c>
      <c r="H10" s="30">
        <v>0.56043417551498831</v>
      </c>
      <c r="I10" s="30">
        <v>0.57264608246336324</v>
      </c>
      <c r="J10" s="30">
        <v>0.55952175141186533</v>
      </c>
      <c r="K10" s="34">
        <v>0.55979258540806609</v>
      </c>
      <c r="L10" s="20">
        <v>0.55493525918369635</v>
      </c>
      <c r="M10" s="20">
        <v>0.60119717020900609</v>
      </c>
      <c r="N10" s="20">
        <v>0.60123968666671268</v>
      </c>
      <c r="O10" s="20">
        <v>0.56915725868702283</v>
      </c>
      <c r="P10" s="20">
        <v>0.56833106943702572</v>
      </c>
      <c r="Q10" s="20">
        <v>0.30353421348531046</v>
      </c>
      <c r="R10" s="20">
        <v>0.3662251382940076</v>
      </c>
      <c r="S10" s="20">
        <v>0.44430467892102932</v>
      </c>
      <c r="T10" s="20">
        <v>0.49214500156980173</v>
      </c>
      <c r="U10" s="20">
        <v>0.49214271968321388</v>
      </c>
      <c r="V10" s="28">
        <f t="shared" ref="V10" si="18">G10-L10</f>
        <v>-1.7059738914407707E-2</v>
      </c>
      <c r="W10" s="44">
        <f t="shared" si="0"/>
        <v>-4.0762994694017785E-2</v>
      </c>
      <c r="X10" s="44">
        <f t="shared" si="1"/>
        <v>-2.8593604203349443E-2</v>
      </c>
      <c r="Y10" s="44">
        <f t="shared" si="2"/>
        <v>-9.6355072751574955E-3</v>
      </c>
      <c r="Z10" s="22">
        <f t="shared" si="3"/>
        <v>-8.5384840289596253E-3</v>
      </c>
      <c r="AA10" s="44">
        <f t="shared" si="4"/>
        <v>0.23434130678397819</v>
      </c>
      <c r="AB10" s="44">
        <f t="shared" si="5"/>
        <v>0.19420903722098071</v>
      </c>
      <c r="AC10" s="44">
        <f t="shared" si="6"/>
        <v>0.12834140354233392</v>
      </c>
      <c r="AD10" s="44">
        <f t="shared" si="7"/>
        <v>6.7376749842063599E-2</v>
      </c>
      <c r="AE10" s="22">
        <f t="shared" si="8"/>
        <v>6.764986572485221E-2</v>
      </c>
      <c r="AF10" s="44">
        <v>-9.2849460678628315E-2</v>
      </c>
      <c r="AG10" s="44">
        <v>-8.7196401380453925E-2</v>
      </c>
      <c r="AH10" s="44">
        <v>-0.1092279598831748</v>
      </c>
      <c r="AI10" s="44">
        <v>-0.1294426471420711</v>
      </c>
      <c r="AJ10" s="22">
        <v>-0.16344930968643689</v>
      </c>
      <c r="AK10" s="44">
        <v>-8.5157970338467837E-2</v>
      </c>
      <c r="AL10" s="44">
        <v>-0.10045563304923122</v>
      </c>
      <c r="AM10" s="44">
        <v>-0.1124104658051519</v>
      </c>
      <c r="AN10" s="44">
        <v>-0.12350836320554714</v>
      </c>
      <c r="AO10" s="22">
        <v>-0.1568543149658933</v>
      </c>
      <c r="AP10" s="44">
        <v>1.7063521321455666E-2</v>
      </c>
      <c r="AQ10" s="44">
        <v>-1.3950360439363818E-2</v>
      </c>
      <c r="AR10" s="44">
        <v>-4.5561536277771209E-2</v>
      </c>
      <c r="AS10" s="44">
        <v>-9.7351656309374257E-2</v>
      </c>
      <c r="AT10" s="22">
        <v>-0.1308160600955941</v>
      </c>
      <c r="AU10" s="28">
        <f t="shared" ref="AU10" si="19">AF10-AK10</f>
        <v>-7.6914903401604784E-3</v>
      </c>
      <c r="AV10" s="44">
        <f t="shared" si="9"/>
        <v>1.3259231668777294E-2</v>
      </c>
      <c r="AW10" s="44">
        <f t="shared" si="10"/>
        <v>3.1825059219771079E-3</v>
      </c>
      <c r="AX10" s="44">
        <f t="shared" si="11"/>
        <v>-5.9342839365239541E-3</v>
      </c>
      <c r="AY10" s="22">
        <f t="shared" si="12"/>
        <v>-6.5949947205435899E-3</v>
      </c>
      <c r="AZ10" s="44">
        <f t="shared" si="13"/>
        <v>-0.10991298200008398</v>
      </c>
      <c r="BA10" s="44">
        <f t="shared" si="14"/>
        <v>-7.3246040941090107E-2</v>
      </c>
      <c r="BB10" s="44">
        <f t="shared" si="15"/>
        <v>-6.3666423605403588E-2</v>
      </c>
      <c r="BC10" s="44">
        <f t="shared" si="16"/>
        <v>-3.2090990832696842E-2</v>
      </c>
      <c r="BD10" s="22">
        <f t="shared" si="17"/>
        <v>-3.2633249590842794E-2</v>
      </c>
      <c r="BG10" s="45">
        <f t="shared" ref="BG10:BG14" si="20">-G10*0.05</f>
        <v>-2.6893776013464432E-2</v>
      </c>
      <c r="BH10" s="45">
        <f t="shared" ref="BH10:BH14" si="21">G10*0.05</f>
        <v>2.6893776013464432E-2</v>
      </c>
      <c r="BI10" s="45">
        <f t="shared" ref="BI10:BI14" si="22">-0.1*I10</f>
        <v>-5.7264608246336328E-2</v>
      </c>
      <c r="BJ10" s="45">
        <f t="shared" ref="BJ10:BJ14" si="23">0.1*I10</f>
        <v>5.7264608246336328E-2</v>
      </c>
    </row>
    <row r="11" spans="1:62" x14ac:dyDescent="0.25">
      <c r="B11" s="39" t="s">
        <v>1</v>
      </c>
      <c r="C11" s="41" t="s">
        <v>21</v>
      </c>
      <c r="D11" s="37">
        <v>4415.240234375</v>
      </c>
      <c r="E11" s="37">
        <v>4365.97998046875</v>
      </c>
      <c r="F11" s="37">
        <v>4327.77978515625</v>
      </c>
      <c r="G11" s="31">
        <v>0.12122149822681526</v>
      </c>
      <c r="H11" s="29">
        <v>0.13569548802415804</v>
      </c>
      <c r="I11" s="29">
        <v>0.1490546633731529</v>
      </c>
      <c r="J11" s="29">
        <v>0.16635763033498671</v>
      </c>
      <c r="K11" s="32">
        <v>0.1813662426706201</v>
      </c>
      <c r="L11" s="13">
        <v>0.12828983126139853</v>
      </c>
      <c r="M11" s="13">
        <v>0.14621580606708817</v>
      </c>
      <c r="N11" s="13">
        <v>0.15646503282749044</v>
      </c>
      <c r="O11" s="13">
        <v>0.17137866148393646</v>
      </c>
      <c r="P11" s="13">
        <v>0.18478534344001971</v>
      </c>
      <c r="Q11" s="13">
        <v>0.15509131843441673</v>
      </c>
      <c r="R11" s="13">
        <v>0.16469543543763154</v>
      </c>
      <c r="S11" s="13">
        <v>0.17347946791057905</v>
      </c>
      <c r="T11" s="13">
        <v>0.18607826223429882</v>
      </c>
      <c r="U11" s="13">
        <v>0.19845224363580194</v>
      </c>
      <c r="V11" s="27">
        <f>G11-L11</f>
        <v>-7.0683330345832768E-3</v>
      </c>
      <c r="W11" s="14">
        <f t="shared" ref="W11:Y14" si="24">H11-M11</f>
        <v>-1.0520318042930132E-2</v>
      </c>
      <c r="X11" s="14">
        <f t="shared" si="24"/>
        <v>-7.4103694543375398E-3</v>
      </c>
      <c r="Y11" s="14">
        <f t="shared" si="24"/>
        <v>-5.0210311489497506E-3</v>
      </c>
      <c r="Z11" s="15">
        <f t="shared" ref="Z11:Z16" si="25">K11-P11</f>
        <v>-3.4191007693996078E-3</v>
      </c>
      <c r="AA11" s="27">
        <f t="shared" ref="AA11:AE14" si="26">G11-Q11</f>
        <v>-3.3869820207601473E-2</v>
      </c>
      <c r="AB11" s="14">
        <f t="shared" si="26"/>
        <v>-2.8999947413473504E-2</v>
      </c>
      <c r="AC11" s="14">
        <f t="shared" si="26"/>
        <v>-2.4424804537426154E-2</v>
      </c>
      <c r="AD11" s="14">
        <f t="shared" si="26"/>
        <v>-1.9720631899312113E-2</v>
      </c>
      <c r="AE11" s="15">
        <f t="shared" si="26"/>
        <v>-1.7086000965181841E-2</v>
      </c>
      <c r="AF11" s="31">
        <v>2.5764582164001612E-2</v>
      </c>
      <c r="AG11" s="42">
        <v>4.3175973222364217E-2</v>
      </c>
      <c r="AH11" s="42">
        <v>5.3904885172050998E-2</v>
      </c>
      <c r="AI11" s="42">
        <v>6.159815648807801E-2</v>
      </c>
      <c r="AJ11" s="15">
        <v>6.2669850421842477E-2</v>
      </c>
      <c r="AK11" s="13">
        <v>3.2115247154941573E-2</v>
      </c>
      <c r="AL11" s="42">
        <v>5.0200951166756644E-2</v>
      </c>
      <c r="AM11" s="42">
        <v>5.0920732168668215E-2</v>
      </c>
      <c r="AN11" s="42">
        <v>6.42250127887532E-2</v>
      </c>
      <c r="AO11" s="15">
        <v>6.2747252819988109E-2</v>
      </c>
      <c r="AP11" s="13">
        <v>4.720454623618317E-2</v>
      </c>
      <c r="AQ11" s="42">
        <v>6.2280744647329994E-2</v>
      </c>
      <c r="AR11" s="42">
        <v>6.6868558894951857E-2</v>
      </c>
      <c r="AS11" s="42">
        <v>7.3599981515072632E-2</v>
      </c>
      <c r="AT11" s="15">
        <v>7.065295744211858E-2</v>
      </c>
      <c r="AU11" s="27">
        <f>AF11-AK11</f>
        <v>-6.350664990939961E-3</v>
      </c>
      <c r="AV11" s="14">
        <f t="shared" si="9"/>
        <v>-7.0249779443924271E-3</v>
      </c>
      <c r="AW11" s="14">
        <f t="shared" si="10"/>
        <v>2.9841530033827834E-3</v>
      </c>
      <c r="AX11" s="14">
        <f t="shared" si="11"/>
        <v>-2.6268563006751899E-3</v>
      </c>
      <c r="AY11" s="15">
        <f t="shared" si="12"/>
        <v>-7.7402398145631768E-5</v>
      </c>
      <c r="AZ11" s="27">
        <f t="shared" si="13"/>
        <v>-2.1439964072181558E-2</v>
      </c>
      <c r="BA11" s="14">
        <f t="shared" si="14"/>
        <v>-1.9104771424965777E-2</v>
      </c>
      <c r="BB11" s="14">
        <f t="shared" si="15"/>
        <v>-1.2963673722900859E-2</v>
      </c>
      <c r="BC11" s="14">
        <f t="shared" si="16"/>
        <v>-1.2001825026994623E-2</v>
      </c>
      <c r="BD11" s="15">
        <f t="shared" si="17"/>
        <v>-7.9831070202761034E-3</v>
      </c>
      <c r="BG11" s="45">
        <f t="shared" si="20"/>
        <v>-6.0610749113407629E-3</v>
      </c>
      <c r="BH11" s="45">
        <f t="shared" si="21"/>
        <v>6.0610749113407629E-3</v>
      </c>
      <c r="BI11" s="45">
        <f t="shared" si="22"/>
        <v>-1.4905466337315291E-2</v>
      </c>
      <c r="BJ11" s="45">
        <f t="shared" si="23"/>
        <v>1.4905466337315291E-2</v>
      </c>
    </row>
    <row r="12" spans="1:62" x14ac:dyDescent="0.25">
      <c r="B12" s="40" t="s">
        <v>2</v>
      </c>
      <c r="C12" s="35" t="s">
        <v>21</v>
      </c>
      <c r="D12" s="38">
        <v>378.3900146484375</v>
      </c>
      <c r="E12" s="38">
        <v>369.20999145507813</v>
      </c>
      <c r="F12" s="38">
        <v>365.27999877929688</v>
      </c>
      <c r="G12" s="33">
        <v>0.16784671680347152</v>
      </c>
      <c r="H12" s="30">
        <v>0.18369584191042301</v>
      </c>
      <c r="I12" s="30">
        <v>0.19786011276263754</v>
      </c>
      <c r="J12" s="30">
        <v>0.21184332320472479</v>
      </c>
      <c r="K12" s="34">
        <v>0.22047160637884927</v>
      </c>
      <c r="L12" s="20">
        <v>0.17177899052257803</v>
      </c>
      <c r="M12" s="20">
        <v>0.18987879590993048</v>
      </c>
      <c r="N12" s="20">
        <v>0.20412743337094041</v>
      </c>
      <c r="O12" s="20">
        <v>0.21601737654107045</v>
      </c>
      <c r="P12" s="20">
        <v>0.22507906530412131</v>
      </c>
      <c r="Q12" s="20">
        <v>0.20235848533066714</v>
      </c>
      <c r="R12" s="20">
        <v>0.2109480699884061</v>
      </c>
      <c r="S12" s="20">
        <v>0.22238593384153646</v>
      </c>
      <c r="T12" s="20">
        <v>0.23181685601749685</v>
      </c>
      <c r="U12" s="20">
        <v>0.23803254555655379</v>
      </c>
      <c r="V12" s="28">
        <f t="shared" ref="V12:V16" si="27">G12-L12</f>
        <v>-3.9322737191065105E-3</v>
      </c>
      <c r="W12" s="44">
        <f t="shared" si="24"/>
        <v>-6.1829539995074678E-3</v>
      </c>
      <c r="X12" s="44">
        <f t="shared" si="24"/>
        <v>-6.2673206083028732E-3</v>
      </c>
      <c r="Y12" s="44">
        <f t="shared" si="24"/>
        <v>-4.1740533363456567E-3</v>
      </c>
      <c r="Z12" s="22">
        <f t="shared" si="25"/>
        <v>-4.6074589252720344E-3</v>
      </c>
      <c r="AA12" s="44">
        <f t="shared" si="26"/>
        <v>-3.4511768527195619E-2</v>
      </c>
      <c r="AB12" s="44">
        <f t="shared" si="26"/>
        <v>-2.7252228077983082E-2</v>
      </c>
      <c r="AC12" s="44">
        <f t="shared" si="26"/>
        <v>-2.4525821078898918E-2</v>
      </c>
      <c r="AD12" s="44">
        <f t="shared" si="26"/>
        <v>-1.997353281277206E-2</v>
      </c>
      <c r="AE12" s="22">
        <f t="shared" si="26"/>
        <v>-1.7560939177704515E-2</v>
      </c>
      <c r="AF12" s="21">
        <v>2.8055987352254369E-2</v>
      </c>
      <c r="AG12" s="21">
        <v>4.5413669186572109E-2</v>
      </c>
      <c r="AH12" s="21">
        <v>5.5013935593346525E-2</v>
      </c>
      <c r="AI12" s="21">
        <v>6.053621142293919E-2</v>
      </c>
      <c r="AJ12" s="22">
        <v>5.5889724200064911E-2</v>
      </c>
      <c r="AK12" s="21">
        <v>3.4189035711204241E-2</v>
      </c>
      <c r="AL12" s="21">
        <v>5.2787056318794129E-2</v>
      </c>
      <c r="AM12" s="21">
        <v>5.9124156081639428E-2</v>
      </c>
      <c r="AN12" s="21">
        <v>6.0578732813943381E-2</v>
      </c>
      <c r="AO12" s="22">
        <v>5.8261119850013837E-2</v>
      </c>
      <c r="AP12" s="21">
        <v>6.1154346351896288E-2</v>
      </c>
      <c r="AQ12" s="21">
        <v>6.5083762089828689E-2</v>
      </c>
      <c r="AR12" s="21">
        <v>6.925023413936926E-2</v>
      </c>
      <c r="AS12" s="21">
        <v>6.820581582868554E-2</v>
      </c>
      <c r="AT12" s="22">
        <v>6.4061214406032296E-2</v>
      </c>
      <c r="AU12" s="28">
        <f t="shared" ref="AU12:AU14" si="28">AF12-AK12</f>
        <v>-6.1330483589498719E-3</v>
      </c>
      <c r="AV12" s="44">
        <f t="shared" si="9"/>
        <v>-7.3733871322220201E-3</v>
      </c>
      <c r="AW12" s="44">
        <f t="shared" si="10"/>
        <v>-4.1102204882929039E-3</v>
      </c>
      <c r="AX12" s="44">
        <f t="shared" si="11"/>
        <v>-4.2521391004191056E-5</v>
      </c>
      <c r="AY12" s="22">
        <f t="shared" si="12"/>
        <v>-2.3713956499489264E-3</v>
      </c>
      <c r="AZ12" s="44">
        <f t="shared" si="13"/>
        <v>-3.3098358999641919E-2</v>
      </c>
      <c r="BA12" s="44">
        <f t="shared" si="14"/>
        <v>-1.9670092903256581E-2</v>
      </c>
      <c r="BB12" s="44">
        <f t="shared" si="15"/>
        <v>-1.4236298546022735E-2</v>
      </c>
      <c r="BC12" s="44">
        <f t="shared" si="16"/>
        <v>-7.6696044057463497E-3</v>
      </c>
      <c r="BD12" s="22">
        <f t="shared" si="17"/>
        <v>-8.1714902059673855E-3</v>
      </c>
      <c r="BG12" s="45">
        <f t="shared" si="20"/>
        <v>-8.3923358401735756E-3</v>
      </c>
      <c r="BH12" s="45">
        <f t="shared" si="21"/>
        <v>8.3923358401735756E-3</v>
      </c>
      <c r="BI12" s="45">
        <f t="shared" si="22"/>
        <v>-1.9786011276263754E-2</v>
      </c>
      <c r="BJ12" s="45">
        <f t="shared" si="23"/>
        <v>1.9786011276263754E-2</v>
      </c>
    </row>
    <row r="13" spans="1:62" x14ac:dyDescent="0.25">
      <c r="B13" s="39" t="s">
        <v>3</v>
      </c>
      <c r="C13" s="6" t="s">
        <v>21</v>
      </c>
      <c r="D13" s="37">
        <v>169.11000061035156</v>
      </c>
      <c r="E13" s="37">
        <v>172.30999755859375</v>
      </c>
      <c r="F13" s="37">
        <v>170.27000427246094</v>
      </c>
      <c r="G13" s="31">
        <v>0.18389788645287178</v>
      </c>
      <c r="H13" s="29">
        <v>0.18674012734898085</v>
      </c>
      <c r="I13" s="29">
        <v>0.19112309671162678</v>
      </c>
      <c r="J13" s="29">
        <v>0.19895804509572057</v>
      </c>
      <c r="K13" s="32">
        <v>0.20485256440189317</v>
      </c>
      <c r="L13" s="13">
        <v>0.19947928708591195</v>
      </c>
      <c r="M13" s="13">
        <v>0.20131537279893669</v>
      </c>
      <c r="N13" s="13">
        <v>0.20487970522675319</v>
      </c>
      <c r="O13" s="13">
        <v>0.21173898863826685</v>
      </c>
      <c r="P13" s="13">
        <v>0.21806760396017183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27">
        <f t="shared" si="27"/>
        <v>-1.5581400633040171E-2</v>
      </c>
      <c r="W13" s="14">
        <f t="shared" si="24"/>
        <v>-1.4575245449955837E-2</v>
      </c>
      <c r="X13" s="14">
        <f t="shared" si="24"/>
        <v>-1.3756608515126417E-2</v>
      </c>
      <c r="Y13" s="14">
        <f t="shared" si="24"/>
        <v>-1.2780943542546275E-2</v>
      </c>
      <c r="Z13" s="15">
        <f t="shared" si="25"/>
        <v>-1.3215039558278657E-2</v>
      </c>
      <c r="AA13" s="27">
        <f>G13-Q13</f>
        <v>0.18389788645287178</v>
      </c>
      <c r="AB13" s="14">
        <f t="shared" si="26"/>
        <v>0.18674012734898085</v>
      </c>
      <c r="AC13" s="14">
        <f t="shared" si="26"/>
        <v>0.19112309671162678</v>
      </c>
      <c r="AD13" s="14">
        <f t="shared" si="26"/>
        <v>0.19895804509572057</v>
      </c>
      <c r="AE13" s="15">
        <f t="shared" si="26"/>
        <v>0.20485256440189317</v>
      </c>
      <c r="AF13" s="14">
        <v>2.2557049592581119E-2</v>
      </c>
      <c r="AG13" s="14">
        <v>3.4063284907849711E-2</v>
      </c>
      <c r="AH13" s="14">
        <v>4.3163833845801858E-2</v>
      </c>
      <c r="AI13" s="14">
        <v>4.9179705674873897E-2</v>
      </c>
      <c r="AJ13" s="15">
        <v>4.8719149317921678E-2</v>
      </c>
      <c r="AK13" s="14">
        <v>2.61962938004143E-2</v>
      </c>
      <c r="AL13" s="14">
        <v>4.0621284767727972E-2</v>
      </c>
      <c r="AM13" s="14">
        <v>4.726911767793246E-2</v>
      </c>
      <c r="AN13" s="14">
        <v>5.369638189641604E-2</v>
      </c>
      <c r="AO13" s="15">
        <v>4.9436801742600262E-2</v>
      </c>
      <c r="AP13" s="14">
        <v>0</v>
      </c>
      <c r="AQ13" s="14">
        <v>0</v>
      </c>
      <c r="AR13" s="14">
        <v>0</v>
      </c>
      <c r="AS13" s="14">
        <v>0</v>
      </c>
      <c r="AT13" s="15">
        <v>0</v>
      </c>
      <c r="AU13" s="27">
        <f t="shared" si="28"/>
        <v>-3.639244207833181E-3</v>
      </c>
      <c r="AV13" s="14">
        <f t="shared" si="9"/>
        <v>-6.5579998598782607E-3</v>
      </c>
      <c r="AW13" s="14">
        <f t="shared" si="10"/>
        <v>-4.1052838321306018E-3</v>
      </c>
      <c r="AX13" s="14">
        <f t="shared" si="11"/>
        <v>-4.516676221542143E-3</v>
      </c>
      <c r="AY13" s="15">
        <f t="shared" si="12"/>
        <v>-7.1765242467858315E-4</v>
      </c>
      <c r="AZ13" s="27">
        <f>AF13-AP13</f>
        <v>2.2557049592581119E-2</v>
      </c>
      <c r="BA13" s="14">
        <f t="shared" si="14"/>
        <v>3.4063284907849711E-2</v>
      </c>
      <c r="BB13" s="14">
        <f t="shared" si="15"/>
        <v>4.3163833845801858E-2</v>
      </c>
      <c r="BC13" s="14">
        <f t="shared" si="16"/>
        <v>4.9179705674873897E-2</v>
      </c>
      <c r="BD13" s="15">
        <f t="shared" si="17"/>
        <v>4.8719149317921678E-2</v>
      </c>
      <c r="BG13" s="45">
        <f t="shared" si="20"/>
        <v>-9.1948943226435893E-3</v>
      </c>
      <c r="BH13" s="45">
        <f t="shared" si="21"/>
        <v>9.1948943226435893E-3</v>
      </c>
      <c r="BI13" s="45">
        <f t="shared" si="22"/>
        <v>-1.9112309671162678E-2</v>
      </c>
      <c r="BJ13" s="45">
        <f t="shared" si="23"/>
        <v>1.9112309671162678E-2</v>
      </c>
    </row>
    <row r="14" spans="1:62" x14ac:dyDescent="0.25">
      <c r="B14" s="40" t="s">
        <v>16</v>
      </c>
      <c r="C14" s="43" t="s">
        <v>21</v>
      </c>
      <c r="D14" s="38">
        <v>40.770000457763672</v>
      </c>
      <c r="E14" s="38">
        <v>38.009998321533203</v>
      </c>
      <c r="F14" s="38">
        <v>37.409999847412109</v>
      </c>
      <c r="G14" s="33">
        <v>0.49562960242734166</v>
      </c>
      <c r="H14" s="30">
        <v>0.52940249792771932</v>
      </c>
      <c r="I14" s="30">
        <v>0.55589293803929252</v>
      </c>
      <c r="J14" s="30">
        <v>0.57655133381758128</v>
      </c>
      <c r="K14" s="34">
        <v>0.58291272767641333</v>
      </c>
      <c r="L14" s="20">
        <v>0.50771187425349951</v>
      </c>
      <c r="M14" s="20">
        <v>0.54842941107164556</v>
      </c>
      <c r="N14" s="20">
        <v>0.57119950627513882</v>
      </c>
      <c r="O14" s="20">
        <v>0.59099814925940131</v>
      </c>
      <c r="P14" s="20">
        <v>0.59787740655452037</v>
      </c>
      <c r="Q14" s="20">
        <v>0.60235362330510722</v>
      </c>
      <c r="R14" s="20">
        <v>0.60872276105275536</v>
      </c>
      <c r="S14" s="20">
        <v>0.61915353121485284</v>
      </c>
      <c r="T14" s="20">
        <v>0.62914160956633935</v>
      </c>
      <c r="U14" s="20">
        <v>0.63190093550648907</v>
      </c>
      <c r="V14" s="28">
        <f t="shared" si="27"/>
        <v>-1.2082271826157842E-2</v>
      </c>
      <c r="W14" s="44">
        <f t="shared" si="24"/>
        <v>-1.9026913143926238E-2</v>
      </c>
      <c r="X14" s="44">
        <f t="shared" si="24"/>
        <v>-1.5306568235846307E-2</v>
      </c>
      <c r="Y14" s="44">
        <f t="shared" si="24"/>
        <v>-1.4446815441820027E-2</v>
      </c>
      <c r="Z14" s="22">
        <f t="shared" si="25"/>
        <v>-1.4964678878107041E-2</v>
      </c>
      <c r="AA14" s="44">
        <f>G14-Q14</f>
        <v>-0.10672402087776556</v>
      </c>
      <c r="AB14" s="44">
        <f>H14-R14</f>
        <v>-7.9320263125036039E-2</v>
      </c>
      <c r="AC14" s="44">
        <f>I14-S14</f>
        <v>-6.326059317556032E-2</v>
      </c>
      <c r="AD14" s="44">
        <f>J14-T14</f>
        <v>-5.2590275748758075E-2</v>
      </c>
      <c r="AE14" s="22">
        <f t="shared" si="26"/>
        <v>-4.8988207830075736E-2</v>
      </c>
      <c r="AF14" s="44">
        <v>8.7985649605764937E-2</v>
      </c>
      <c r="AG14" s="44">
        <v>0.12052988895804861</v>
      </c>
      <c r="AH14" s="44">
        <v>0.13318120228032687</v>
      </c>
      <c r="AI14" s="44">
        <v>0.12541641474998244</v>
      </c>
      <c r="AJ14" s="22">
        <v>0.10264718101782022</v>
      </c>
      <c r="AK14" s="44">
        <v>0.10146939178260839</v>
      </c>
      <c r="AL14" s="44">
        <v>0.13371722134524572</v>
      </c>
      <c r="AM14" s="44">
        <v>0.13987619829873271</v>
      </c>
      <c r="AN14" s="44">
        <v>0.12455436255754759</v>
      </c>
      <c r="AO14" s="22">
        <v>0.10201332545049357</v>
      </c>
      <c r="AP14" s="44">
        <v>0.17104242131287983</v>
      </c>
      <c r="AQ14" s="44">
        <v>0.17204346631686351</v>
      </c>
      <c r="AR14" s="44">
        <v>0.16739792091916417</v>
      </c>
      <c r="AS14" s="44">
        <v>0.13990549939469199</v>
      </c>
      <c r="AT14" s="22">
        <v>0.1086707127856219</v>
      </c>
      <c r="AU14" s="28">
        <f t="shared" si="28"/>
        <v>-1.348374217684345E-2</v>
      </c>
      <c r="AV14" s="44">
        <f t="shared" si="9"/>
        <v>-1.3187332387197104E-2</v>
      </c>
      <c r="AW14" s="44">
        <f t="shared" si="10"/>
        <v>-6.694996018405841E-3</v>
      </c>
      <c r="AX14" s="44">
        <f t="shared" si="11"/>
        <v>8.6205219243484787E-4</v>
      </c>
      <c r="AY14" s="22">
        <f t="shared" si="12"/>
        <v>6.3385556732664661E-4</v>
      </c>
      <c r="AZ14" s="44">
        <f>AF14-AP14</f>
        <v>-8.3056771707114896E-2</v>
      </c>
      <c r="BA14" s="44">
        <f>AG14-AQ14</f>
        <v>-5.1513577358814899E-2</v>
      </c>
      <c r="BB14" s="44">
        <f>AH14-AR14</f>
        <v>-3.4216718638837296E-2</v>
      </c>
      <c r="BC14" s="44">
        <f>AI14-AS14</f>
        <v>-1.4489084644709549E-2</v>
      </c>
      <c r="BD14" s="22">
        <f t="shared" si="17"/>
        <v>-6.023531767801682E-3</v>
      </c>
      <c r="BG14" s="45">
        <f t="shared" si="20"/>
        <v>-2.4781480121367085E-2</v>
      </c>
      <c r="BH14" s="45">
        <f t="shared" si="21"/>
        <v>2.4781480121367085E-2</v>
      </c>
      <c r="BI14" s="45">
        <f t="shared" si="22"/>
        <v>-5.5589293803929254E-2</v>
      </c>
      <c r="BJ14" s="45">
        <f t="shared" si="23"/>
        <v>5.5589293803929254E-2</v>
      </c>
    </row>
    <row r="15" spans="1:62" x14ac:dyDescent="0.25">
      <c r="B15" s="39"/>
      <c r="D15" s="37"/>
      <c r="E15" s="37"/>
      <c r="F15" s="37"/>
      <c r="G15" s="31"/>
      <c r="H15" s="29"/>
      <c r="I15" s="29"/>
      <c r="J15" s="29"/>
      <c r="K15" s="32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27"/>
      <c r="W15" s="14"/>
      <c r="X15" s="14"/>
      <c r="Y15" s="14"/>
      <c r="Z15" s="15"/>
      <c r="AA15" s="14"/>
      <c r="AB15" s="14"/>
      <c r="AC15" s="14"/>
      <c r="AD15" s="14"/>
      <c r="AE15" s="15"/>
      <c r="AF15" s="14"/>
      <c r="AG15" s="14"/>
      <c r="AH15" s="14"/>
      <c r="AI15" s="14"/>
      <c r="AJ15" s="15"/>
      <c r="AK15" s="14"/>
      <c r="AL15" s="14"/>
      <c r="AM15" s="14"/>
      <c r="AN15" s="14"/>
      <c r="AO15" s="15"/>
      <c r="AP15" s="14"/>
      <c r="AQ15" s="14"/>
      <c r="AR15" s="14"/>
      <c r="AS15" s="14"/>
      <c r="AT15" s="15"/>
      <c r="AU15" s="27"/>
      <c r="AV15" s="14"/>
      <c r="AW15" s="14"/>
      <c r="AX15" s="14"/>
      <c r="AY15" s="15"/>
      <c r="AZ15" s="14"/>
      <c r="BA15" s="14"/>
      <c r="BB15" s="14"/>
      <c r="BC15" s="14"/>
      <c r="BD15" s="15"/>
      <c r="BG15" s="45">
        <f t="shared" ref="BG15:BG24" si="29">-G15*0.05</f>
        <v>0</v>
      </c>
      <c r="BH15" s="45">
        <f t="shared" ref="BH15:BH24" si="30">G15*0.05</f>
        <v>0</v>
      </c>
      <c r="BI15" s="45">
        <f t="shared" ref="BI15:BI24" si="31">-0.1*I15</f>
        <v>0</v>
      </c>
      <c r="BJ15" s="45">
        <f t="shared" ref="BJ15:BJ24" si="32">0.1*I15</f>
        <v>0</v>
      </c>
    </row>
    <row r="16" spans="1:62" x14ac:dyDescent="0.25">
      <c r="B16" s="40"/>
      <c r="C16" s="35"/>
      <c r="D16" s="38"/>
      <c r="E16" s="38"/>
      <c r="F16" s="38"/>
      <c r="G16" s="33"/>
      <c r="H16" s="30"/>
      <c r="I16" s="30"/>
      <c r="J16" s="30"/>
      <c r="K16" s="34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8"/>
      <c r="W16" s="21"/>
      <c r="X16" s="21"/>
      <c r="Y16" s="21"/>
      <c r="Z16" s="22"/>
      <c r="AA16" s="21"/>
      <c r="AB16" s="21"/>
      <c r="AC16" s="21"/>
      <c r="AD16" s="21"/>
      <c r="AE16" s="22"/>
      <c r="AF16" s="21"/>
      <c r="AG16" s="21"/>
      <c r="AH16" s="21"/>
      <c r="AI16" s="21"/>
      <c r="AJ16" s="22"/>
      <c r="AK16" s="21"/>
      <c r="AL16" s="21"/>
      <c r="AM16" s="21"/>
      <c r="AN16" s="21"/>
      <c r="AO16" s="22"/>
      <c r="AP16" s="21"/>
      <c r="AQ16" s="21"/>
      <c r="AR16" s="21"/>
      <c r="AS16" s="21"/>
      <c r="AT16" s="22"/>
      <c r="AU16" s="28"/>
      <c r="AV16" s="21"/>
      <c r="AW16" s="21"/>
      <c r="AX16" s="21"/>
      <c r="AY16" s="22"/>
      <c r="AZ16" s="21"/>
      <c r="BA16" s="21"/>
      <c r="BB16" s="21"/>
      <c r="BC16" s="21"/>
      <c r="BD16" s="22"/>
      <c r="BG16" s="45">
        <f t="shared" si="29"/>
        <v>0</v>
      </c>
      <c r="BH16" s="45">
        <f t="shared" si="30"/>
        <v>0</v>
      </c>
      <c r="BI16" s="45">
        <f t="shared" si="31"/>
        <v>0</v>
      </c>
      <c r="BJ16" s="45">
        <f t="shared" si="32"/>
        <v>0</v>
      </c>
    </row>
    <row r="17" spans="2:62" x14ac:dyDescent="0.25">
      <c r="B17" s="11"/>
      <c r="D17" s="12"/>
      <c r="E17" s="12"/>
      <c r="F17" s="12"/>
      <c r="G17" s="31"/>
      <c r="H17" s="29"/>
      <c r="I17" s="29"/>
      <c r="J17" s="29"/>
      <c r="K17" s="32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27"/>
      <c r="W17" s="14"/>
      <c r="X17" s="14"/>
      <c r="Y17" s="14"/>
      <c r="Z17" s="15"/>
      <c r="AA17" s="14"/>
      <c r="AB17" s="14"/>
      <c r="AC17" s="14"/>
      <c r="AD17" s="14"/>
      <c r="AE17" s="15"/>
      <c r="AF17" s="14"/>
      <c r="AG17" s="14"/>
      <c r="AH17" s="14"/>
      <c r="AI17" s="14"/>
      <c r="AJ17" s="15"/>
      <c r="AK17" s="14"/>
      <c r="AL17" s="14"/>
      <c r="AM17" s="14"/>
      <c r="AN17" s="14"/>
      <c r="AO17" s="15"/>
      <c r="AP17" s="14"/>
      <c r="AQ17" s="14"/>
      <c r="AR17" s="14"/>
      <c r="AS17" s="14"/>
      <c r="AT17" s="15"/>
      <c r="AU17" s="27"/>
      <c r="AV17" s="14"/>
      <c r="AW17" s="14"/>
      <c r="AX17" s="14"/>
      <c r="AY17" s="15"/>
      <c r="AZ17" s="14"/>
      <c r="BA17" s="14"/>
      <c r="BB17" s="14"/>
      <c r="BC17" s="14"/>
      <c r="BD17" s="15"/>
      <c r="BG17" s="45">
        <f t="shared" si="29"/>
        <v>0</v>
      </c>
      <c r="BH17" s="45">
        <f t="shared" si="30"/>
        <v>0</v>
      </c>
      <c r="BI17" s="45">
        <f t="shared" si="31"/>
        <v>0</v>
      </c>
      <c r="BJ17" s="45">
        <f t="shared" si="32"/>
        <v>0</v>
      </c>
    </row>
    <row r="18" spans="2:62" x14ac:dyDescent="0.25">
      <c r="B18" s="18"/>
      <c r="C18" s="35"/>
      <c r="D18" s="19"/>
      <c r="E18" s="19"/>
      <c r="F18" s="19"/>
      <c r="G18" s="33"/>
      <c r="H18" s="30"/>
      <c r="I18" s="30"/>
      <c r="J18" s="30"/>
      <c r="K18" s="34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8"/>
      <c r="W18" s="21"/>
      <c r="X18" s="21"/>
      <c r="Y18" s="21"/>
      <c r="Z18" s="22"/>
      <c r="AA18" s="21"/>
      <c r="AB18" s="21"/>
      <c r="AC18" s="21"/>
      <c r="AD18" s="21"/>
      <c r="AE18" s="22"/>
      <c r="AF18" s="21"/>
      <c r="AG18" s="21"/>
      <c r="AH18" s="21"/>
      <c r="AI18" s="21"/>
      <c r="AJ18" s="22"/>
      <c r="AK18" s="21"/>
      <c r="AL18" s="21"/>
      <c r="AM18" s="21"/>
      <c r="AN18" s="21"/>
      <c r="AO18" s="22"/>
      <c r="AP18" s="21"/>
      <c r="AQ18" s="21"/>
      <c r="AR18" s="21"/>
      <c r="AS18" s="21"/>
      <c r="AT18" s="22"/>
      <c r="AU18" s="28"/>
      <c r="AV18" s="21"/>
      <c r="AW18" s="21"/>
      <c r="AX18" s="21"/>
      <c r="AY18" s="22"/>
      <c r="AZ18" s="21"/>
      <c r="BA18" s="21"/>
      <c r="BB18" s="21"/>
      <c r="BC18" s="21"/>
      <c r="BD18" s="22"/>
      <c r="BG18" s="45">
        <f t="shared" si="29"/>
        <v>0</v>
      </c>
      <c r="BH18" s="45">
        <f t="shared" si="30"/>
        <v>0</v>
      </c>
      <c r="BI18" s="45">
        <f t="shared" si="31"/>
        <v>0</v>
      </c>
      <c r="BJ18" s="45">
        <f t="shared" si="32"/>
        <v>0</v>
      </c>
    </row>
    <row r="19" spans="2:62" x14ac:dyDescent="0.25">
      <c r="B19" s="11"/>
      <c r="D19" s="12"/>
      <c r="E19" s="12"/>
      <c r="F19" s="12"/>
      <c r="G19" s="31"/>
      <c r="H19" s="29"/>
      <c r="I19" s="29"/>
      <c r="J19" s="29"/>
      <c r="K19" s="32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27"/>
      <c r="W19" s="14"/>
      <c r="X19" s="14"/>
      <c r="Y19" s="14"/>
      <c r="Z19" s="15"/>
      <c r="AA19" s="14"/>
      <c r="AB19" s="14"/>
      <c r="AC19" s="14"/>
      <c r="AD19" s="14"/>
      <c r="AE19" s="15"/>
      <c r="AF19" s="14"/>
      <c r="AG19" s="14"/>
      <c r="AH19" s="14"/>
      <c r="AI19" s="14"/>
      <c r="AJ19" s="15"/>
      <c r="AK19" s="14"/>
      <c r="AL19" s="14"/>
      <c r="AM19" s="14"/>
      <c r="AN19" s="14"/>
      <c r="AO19" s="15"/>
      <c r="AP19" s="14"/>
      <c r="AQ19" s="14"/>
      <c r="AR19" s="14"/>
      <c r="AS19" s="14"/>
      <c r="AT19" s="15"/>
      <c r="AU19" s="27"/>
      <c r="AV19" s="14"/>
      <c r="AW19" s="14"/>
      <c r="AX19" s="14"/>
      <c r="AY19" s="15"/>
      <c r="AZ19" s="14"/>
      <c r="BA19" s="14"/>
      <c r="BB19" s="14"/>
      <c r="BC19" s="14"/>
      <c r="BD19" s="15"/>
      <c r="BG19" s="45">
        <f t="shared" si="29"/>
        <v>0</v>
      </c>
      <c r="BH19" s="45">
        <f t="shared" si="30"/>
        <v>0</v>
      </c>
      <c r="BI19" s="45">
        <f t="shared" si="31"/>
        <v>0</v>
      </c>
      <c r="BJ19" s="45">
        <f t="shared" si="32"/>
        <v>0</v>
      </c>
    </row>
    <row r="20" spans="2:62" x14ac:dyDescent="0.25">
      <c r="B20" s="18"/>
      <c r="C20" s="35"/>
      <c r="D20" s="19"/>
      <c r="E20" s="19"/>
      <c r="F20" s="19"/>
      <c r="G20" s="33"/>
      <c r="H20" s="30"/>
      <c r="I20" s="30"/>
      <c r="J20" s="30"/>
      <c r="K20" s="34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8"/>
      <c r="W20" s="21"/>
      <c r="X20" s="21"/>
      <c r="Y20" s="21"/>
      <c r="Z20" s="22"/>
      <c r="AA20" s="21"/>
      <c r="AB20" s="21"/>
      <c r="AC20" s="21"/>
      <c r="AD20" s="21"/>
      <c r="AE20" s="22"/>
      <c r="AF20" s="21"/>
      <c r="AG20" s="21"/>
      <c r="AH20" s="21"/>
      <c r="AI20" s="21"/>
      <c r="AJ20" s="22"/>
      <c r="AK20" s="21"/>
      <c r="AL20" s="21"/>
      <c r="AM20" s="21"/>
      <c r="AN20" s="21"/>
      <c r="AO20" s="22"/>
      <c r="AP20" s="21"/>
      <c r="AQ20" s="21"/>
      <c r="AR20" s="21"/>
      <c r="AS20" s="21"/>
      <c r="AT20" s="22"/>
      <c r="AU20" s="28"/>
      <c r="AV20" s="21"/>
      <c r="AW20" s="21"/>
      <c r="AX20" s="21"/>
      <c r="AY20" s="22"/>
      <c r="AZ20" s="21"/>
      <c r="BA20" s="21"/>
      <c r="BB20" s="21"/>
      <c r="BC20" s="21"/>
      <c r="BD20" s="22"/>
      <c r="BG20" s="45">
        <f t="shared" si="29"/>
        <v>0</v>
      </c>
      <c r="BH20" s="45">
        <f t="shared" si="30"/>
        <v>0</v>
      </c>
      <c r="BI20" s="45">
        <f t="shared" si="31"/>
        <v>0</v>
      </c>
      <c r="BJ20" s="45">
        <f t="shared" si="32"/>
        <v>0</v>
      </c>
    </row>
    <row r="21" spans="2:62" x14ac:dyDescent="0.25">
      <c r="B21" s="11"/>
      <c r="D21" s="12"/>
      <c r="E21" s="12"/>
      <c r="F21" s="12"/>
      <c r="G21" s="31"/>
      <c r="H21" s="29"/>
      <c r="I21" s="29"/>
      <c r="J21" s="29"/>
      <c r="K21" s="32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27"/>
      <c r="W21" s="14"/>
      <c r="X21" s="14"/>
      <c r="Y21" s="14"/>
      <c r="Z21" s="15"/>
      <c r="AA21" s="14"/>
      <c r="AB21" s="14"/>
      <c r="AC21" s="14"/>
      <c r="AD21" s="14"/>
      <c r="AE21" s="15"/>
      <c r="AF21" s="14"/>
      <c r="AG21" s="14"/>
      <c r="AH21" s="14"/>
      <c r="AI21" s="14"/>
      <c r="AJ21" s="15"/>
      <c r="AK21" s="14"/>
      <c r="AL21" s="14"/>
      <c r="AM21" s="14"/>
      <c r="AN21" s="14"/>
      <c r="AO21" s="15"/>
      <c r="AP21" s="14"/>
      <c r="AQ21" s="14"/>
      <c r="AR21" s="14"/>
      <c r="AS21" s="14"/>
      <c r="AT21" s="15"/>
      <c r="AU21" s="27"/>
      <c r="AV21" s="14"/>
      <c r="AW21" s="14"/>
      <c r="AX21" s="14"/>
      <c r="AY21" s="15"/>
      <c r="AZ21" s="14"/>
      <c r="BA21" s="14"/>
      <c r="BB21" s="14"/>
      <c r="BC21" s="14"/>
      <c r="BD21" s="15"/>
      <c r="BG21" s="45">
        <f t="shared" si="29"/>
        <v>0</v>
      </c>
      <c r="BH21" s="45">
        <f t="shared" si="30"/>
        <v>0</v>
      </c>
      <c r="BI21" s="45">
        <f t="shared" si="31"/>
        <v>0</v>
      </c>
      <c r="BJ21" s="45">
        <f t="shared" si="32"/>
        <v>0</v>
      </c>
    </row>
    <row r="22" spans="2:62" x14ac:dyDescent="0.25">
      <c r="B22" s="18"/>
      <c r="C22" s="35"/>
      <c r="D22" s="19"/>
      <c r="E22" s="19"/>
      <c r="F22" s="19"/>
      <c r="G22" s="33"/>
      <c r="H22" s="30"/>
      <c r="I22" s="30"/>
      <c r="J22" s="30"/>
      <c r="K22" s="34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8"/>
      <c r="W22" s="21"/>
      <c r="X22" s="21"/>
      <c r="Y22" s="21"/>
      <c r="Z22" s="22"/>
      <c r="AA22" s="21"/>
      <c r="AB22" s="21"/>
      <c r="AC22" s="21"/>
      <c r="AD22" s="21"/>
      <c r="AE22" s="22"/>
      <c r="AF22" s="21"/>
      <c r="AG22" s="21"/>
      <c r="AH22" s="21"/>
      <c r="AI22" s="21"/>
      <c r="AJ22" s="22"/>
      <c r="AK22" s="21"/>
      <c r="AL22" s="21"/>
      <c r="AM22" s="21"/>
      <c r="AN22" s="21"/>
      <c r="AO22" s="22"/>
      <c r="AP22" s="21"/>
      <c r="AQ22" s="21"/>
      <c r="AR22" s="21"/>
      <c r="AS22" s="21"/>
      <c r="AT22" s="22"/>
      <c r="AU22" s="28"/>
      <c r="AV22" s="21"/>
      <c r="AW22" s="21"/>
      <c r="AX22" s="21"/>
      <c r="AY22" s="22"/>
      <c r="AZ22" s="21"/>
      <c r="BA22" s="21"/>
      <c r="BB22" s="21"/>
      <c r="BC22" s="21"/>
      <c r="BD22" s="22"/>
      <c r="BG22" s="45">
        <f t="shared" si="29"/>
        <v>0</v>
      </c>
      <c r="BH22" s="45">
        <f t="shared" si="30"/>
        <v>0</v>
      </c>
      <c r="BI22" s="45">
        <f t="shared" si="31"/>
        <v>0</v>
      </c>
      <c r="BJ22" s="45">
        <f t="shared" si="32"/>
        <v>0</v>
      </c>
    </row>
    <row r="23" spans="2:62" x14ac:dyDescent="0.25">
      <c r="B23" s="11"/>
      <c r="D23" s="12"/>
      <c r="E23" s="12"/>
      <c r="F23" s="12"/>
      <c r="G23" s="31"/>
      <c r="H23" s="29"/>
      <c r="I23" s="29"/>
      <c r="J23" s="29"/>
      <c r="K23" s="32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27"/>
      <c r="W23" s="14"/>
      <c r="X23" s="14"/>
      <c r="Y23" s="14"/>
      <c r="Z23" s="15"/>
      <c r="AA23" s="14"/>
      <c r="AB23" s="14"/>
      <c r="AC23" s="14"/>
      <c r="AD23" s="14"/>
      <c r="AE23" s="15"/>
      <c r="AF23" s="14"/>
      <c r="AG23" s="14"/>
      <c r="AH23" s="14"/>
      <c r="AI23" s="14"/>
      <c r="AJ23" s="15"/>
      <c r="AK23" s="14"/>
      <c r="AL23" s="14"/>
      <c r="AM23" s="14"/>
      <c r="AN23" s="14"/>
      <c r="AO23" s="15"/>
      <c r="AP23" s="14"/>
      <c r="AQ23" s="14"/>
      <c r="AR23" s="14"/>
      <c r="AS23" s="14"/>
      <c r="AT23" s="15"/>
      <c r="AU23" s="27"/>
      <c r="AV23" s="14"/>
      <c r="AW23" s="14"/>
      <c r="AX23" s="14"/>
      <c r="AY23" s="15"/>
      <c r="AZ23" s="14"/>
      <c r="BA23" s="14"/>
      <c r="BB23" s="14"/>
      <c r="BC23" s="14"/>
      <c r="BD23" s="15"/>
      <c r="BG23" s="45">
        <f t="shared" si="29"/>
        <v>0</v>
      </c>
      <c r="BH23" s="45">
        <f t="shared" si="30"/>
        <v>0</v>
      </c>
      <c r="BI23" s="45">
        <f t="shared" si="31"/>
        <v>0</v>
      </c>
      <c r="BJ23" s="45">
        <f t="shared" si="32"/>
        <v>0</v>
      </c>
    </row>
    <row r="24" spans="2:62" x14ac:dyDescent="0.25">
      <c r="B24" s="18"/>
      <c r="C24" s="35"/>
      <c r="D24" s="19"/>
      <c r="E24" s="19"/>
      <c r="F24" s="19"/>
      <c r="G24" s="33"/>
      <c r="H24" s="30"/>
      <c r="I24" s="30"/>
      <c r="J24" s="30"/>
      <c r="K24" s="34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8"/>
      <c r="W24" s="21"/>
      <c r="X24" s="21"/>
      <c r="Y24" s="21"/>
      <c r="Z24" s="22"/>
      <c r="AA24" s="21"/>
      <c r="AB24" s="21"/>
      <c r="AC24" s="21"/>
      <c r="AD24" s="21"/>
      <c r="AE24" s="22"/>
      <c r="AF24" s="21"/>
      <c r="AG24" s="21"/>
      <c r="AH24" s="21"/>
      <c r="AI24" s="21"/>
      <c r="AJ24" s="22"/>
      <c r="AK24" s="21"/>
      <c r="AL24" s="21"/>
      <c r="AM24" s="21"/>
      <c r="AN24" s="21"/>
      <c r="AO24" s="22"/>
      <c r="AP24" s="21"/>
      <c r="AQ24" s="21"/>
      <c r="AR24" s="21"/>
      <c r="AS24" s="21"/>
      <c r="AT24" s="22"/>
      <c r="AU24" s="28"/>
      <c r="AV24" s="21"/>
      <c r="AW24" s="21"/>
      <c r="AX24" s="21"/>
      <c r="AY24" s="22"/>
      <c r="AZ24" s="21"/>
      <c r="BA24" s="21"/>
      <c r="BB24" s="21"/>
      <c r="BC24" s="21"/>
      <c r="BD24" s="22"/>
      <c r="BG24" s="45">
        <f t="shared" si="29"/>
        <v>0</v>
      </c>
      <c r="BH24" s="45">
        <f t="shared" si="30"/>
        <v>0</v>
      </c>
      <c r="BI24" s="45">
        <f t="shared" si="31"/>
        <v>0</v>
      </c>
      <c r="BJ24" s="45">
        <f t="shared" si="32"/>
        <v>0</v>
      </c>
    </row>
    <row r="25" spans="2:62" x14ac:dyDescent="0.25">
      <c r="B25" s="11"/>
      <c r="G25" s="11"/>
      <c r="K25" s="16"/>
      <c r="V25" s="11"/>
      <c r="Z25" s="16"/>
      <c r="AE25" s="16"/>
      <c r="AJ25" s="16"/>
      <c r="AO25" s="16"/>
      <c r="AT25" s="16"/>
      <c r="AU25" s="11"/>
      <c r="AY25" s="16"/>
      <c r="BD25" s="16"/>
      <c r="BG25" s="45"/>
      <c r="BH25" s="45"/>
      <c r="BI25" s="45"/>
      <c r="BJ25" s="45"/>
    </row>
    <row r="26" spans="2:62" x14ac:dyDescent="0.25">
      <c r="B26" s="11"/>
      <c r="G26" s="11"/>
      <c r="K26" s="16"/>
      <c r="V26" s="11"/>
      <c r="Z26" s="16"/>
      <c r="AE26" s="16"/>
      <c r="AJ26" s="16"/>
      <c r="AO26" s="16"/>
      <c r="AT26" s="16"/>
      <c r="AU26" s="11"/>
      <c r="AY26" s="16"/>
      <c r="BD26" s="16"/>
    </row>
    <row r="27" spans="2:62" x14ac:dyDescent="0.25">
      <c r="B27" s="11"/>
      <c r="G27" s="11"/>
      <c r="K27" s="16"/>
      <c r="V27" s="11"/>
      <c r="Z27" s="16"/>
      <c r="AE27" s="16"/>
      <c r="AJ27" s="16"/>
      <c r="AO27" s="16"/>
      <c r="AT27" s="16"/>
      <c r="AU27" s="11"/>
      <c r="AY27" s="16"/>
      <c r="BD27" s="16"/>
    </row>
    <row r="28" spans="2:62" x14ac:dyDescent="0.25">
      <c r="B28" s="11"/>
      <c r="G28" s="11"/>
      <c r="K28" s="16"/>
      <c r="V28" s="11"/>
      <c r="Z28" s="16"/>
      <c r="AE28" s="16"/>
      <c r="AJ28" s="16"/>
      <c r="AO28" s="16"/>
      <c r="AT28" s="16"/>
      <c r="AU28" s="11"/>
      <c r="AY28" s="16"/>
      <c r="BD28" s="16"/>
    </row>
    <row r="29" spans="2:62" x14ac:dyDescent="0.25">
      <c r="B29" s="11"/>
      <c r="G29" s="11"/>
      <c r="K29" s="16"/>
      <c r="V29" s="11"/>
      <c r="Z29" s="16"/>
      <c r="AE29" s="16"/>
      <c r="AJ29" s="16"/>
      <c r="AO29" s="16"/>
      <c r="AT29" s="16"/>
      <c r="AU29" s="11"/>
      <c r="AY29" s="16"/>
      <c r="BD29" s="16"/>
    </row>
    <row r="30" spans="2:62" x14ac:dyDescent="0.25">
      <c r="B30" s="11"/>
      <c r="G30" s="11"/>
      <c r="K30" s="16"/>
      <c r="V30" s="11"/>
      <c r="Z30" s="16"/>
      <c r="AE30" s="16"/>
      <c r="AJ30" s="16"/>
      <c r="AO30" s="16"/>
      <c r="AT30" s="16"/>
      <c r="AU30" s="11"/>
      <c r="AY30" s="16"/>
      <c r="BD30" s="16"/>
    </row>
    <row r="31" spans="2:62" x14ac:dyDescent="0.25">
      <c r="B31" s="11"/>
      <c r="G31" s="11"/>
      <c r="K31" s="16"/>
      <c r="V31" s="11"/>
      <c r="Z31" s="16"/>
      <c r="AE31" s="16"/>
      <c r="AJ31" s="16"/>
      <c r="AO31" s="16"/>
      <c r="AT31" s="16"/>
      <c r="AU31" s="11"/>
      <c r="AY31" s="16"/>
      <c r="BD31" s="16"/>
    </row>
    <row r="32" spans="2:62" x14ac:dyDescent="0.25">
      <c r="B32" s="11"/>
      <c r="G32" s="11"/>
      <c r="K32" s="16"/>
      <c r="V32" s="11"/>
      <c r="Z32" s="16"/>
      <c r="AE32" s="16"/>
      <c r="AJ32" s="16"/>
      <c r="AO32" s="16"/>
      <c r="AT32" s="16"/>
      <c r="AU32" s="11"/>
      <c r="AY32" s="16"/>
      <c r="BD32" s="16"/>
    </row>
    <row r="33" spans="2:56" x14ac:dyDescent="0.25">
      <c r="B33" s="11"/>
      <c r="G33" s="11"/>
      <c r="K33" s="16"/>
      <c r="V33" s="11"/>
      <c r="Z33" s="16"/>
      <c r="AE33" s="16"/>
      <c r="AJ33" s="16"/>
      <c r="AO33" s="16"/>
      <c r="AT33" s="16"/>
      <c r="AU33" s="11"/>
      <c r="AY33" s="16"/>
      <c r="BD33" s="16"/>
    </row>
    <row r="34" spans="2:56" x14ac:dyDescent="0.25">
      <c r="B34" s="11"/>
      <c r="G34" s="11"/>
      <c r="K34" s="16"/>
      <c r="V34" s="11"/>
      <c r="Z34" s="16"/>
      <c r="AE34" s="16"/>
      <c r="AJ34" s="16"/>
      <c r="AO34" s="16"/>
      <c r="AT34" s="16"/>
      <c r="AU34" s="11"/>
      <c r="AY34" s="16"/>
      <c r="BD34" s="16"/>
    </row>
    <row r="35" spans="2:56" x14ac:dyDescent="0.25">
      <c r="B35" s="11"/>
      <c r="G35" s="11"/>
      <c r="K35" s="16"/>
      <c r="V35" s="11"/>
      <c r="Z35" s="16"/>
      <c r="AE35" s="16"/>
      <c r="AJ35" s="16"/>
      <c r="AO35" s="16"/>
      <c r="AT35" s="16"/>
      <c r="AU35" s="11"/>
      <c r="AY35" s="16"/>
      <c r="BD35" s="16"/>
    </row>
    <row r="36" spans="2:56" x14ac:dyDescent="0.25">
      <c r="B36" s="11"/>
      <c r="G36" s="11"/>
      <c r="K36" s="16"/>
      <c r="V36" s="11"/>
      <c r="Z36" s="16"/>
      <c r="AE36" s="16"/>
      <c r="AJ36" s="16"/>
      <c r="AO36" s="16"/>
      <c r="AT36" s="16"/>
      <c r="AU36" s="11"/>
      <c r="AY36" s="16"/>
      <c r="BD36" s="16"/>
    </row>
    <row r="37" spans="2:56" x14ac:dyDescent="0.25">
      <c r="B37" s="11"/>
      <c r="G37" s="11"/>
      <c r="K37" s="16"/>
      <c r="V37" s="11"/>
      <c r="Z37" s="16"/>
      <c r="AE37" s="16"/>
      <c r="AJ37" s="16"/>
      <c r="AO37" s="16"/>
      <c r="AT37" s="16"/>
      <c r="AU37" s="11"/>
      <c r="AY37" s="16"/>
      <c r="BD37" s="16"/>
    </row>
    <row r="38" spans="2:56" x14ac:dyDescent="0.25">
      <c r="B38" s="11"/>
      <c r="G38" s="11"/>
      <c r="K38" s="16"/>
      <c r="V38" s="11"/>
      <c r="Z38" s="16"/>
      <c r="AE38" s="16"/>
      <c r="AJ38" s="16"/>
      <c r="AO38" s="16"/>
      <c r="AT38" s="16"/>
      <c r="AU38" s="11"/>
      <c r="AY38" s="16"/>
      <c r="BD38" s="16"/>
    </row>
    <row r="39" spans="2:56" x14ac:dyDescent="0.25">
      <c r="B39" s="11"/>
      <c r="G39" s="11"/>
      <c r="K39" s="16"/>
      <c r="V39" s="11"/>
      <c r="Z39" s="16"/>
      <c r="AE39" s="16"/>
      <c r="AJ39" s="16"/>
      <c r="AO39" s="16"/>
      <c r="AT39" s="16"/>
      <c r="AU39" s="11"/>
      <c r="AY39" s="16"/>
      <c r="BD39" s="16"/>
    </row>
    <row r="40" spans="2:56" x14ac:dyDescent="0.25">
      <c r="B40" s="11"/>
      <c r="G40" s="11"/>
      <c r="K40" s="16"/>
      <c r="V40" s="11"/>
      <c r="Z40" s="16"/>
      <c r="AE40" s="16"/>
      <c r="AJ40" s="16"/>
      <c r="AO40" s="16"/>
      <c r="AT40" s="16"/>
      <c r="AU40" s="11"/>
      <c r="AY40" s="16"/>
      <c r="BD40" s="16"/>
    </row>
    <row r="41" spans="2:56" x14ac:dyDescent="0.25">
      <c r="B41" s="11"/>
      <c r="G41" s="11"/>
      <c r="K41" s="16"/>
      <c r="V41" s="11"/>
      <c r="Z41" s="16"/>
      <c r="AE41" s="16"/>
      <c r="AJ41" s="16"/>
      <c r="AO41" s="16"/>
      <c r="AT41" s="16"/>
      <c r="AU41" s="11"/>
      <c r="AY41" s="16"/>
      <c r="BD41" s="16"/>
    </row>
    <row r="42" spans="2:56" x14ac:dyDescent="0.25">
      <c r="B42" s="11"/>
      <c r="G42" s="11"/>
      <c r="K42" s="16"/>
      <c r="V42" s="11"/>
      <c r="Z42" s="16"/>
      <c r="AE42" s="16"/>
      <c r="AJ42" s="16"/>
      <c r="AO42" s="16"/>
      <c r="AT42" s="16"/>
      <c r="AU42" s="11"/>
      <c r="AY42" s="16"/>
      <c r="BD42" s="16"/>
    </row>
    <row r="43" spans="2:56" x14ac:dyDescent="0.25">
      <c r="B43" s="11"/>
      <c r="G43" s="11"/>
      <c r="K43" s="16"/>
      <c r="V43" s="11"/>
      <c r="Z43" s="16"/>
      <c r="AE43" s="16"/>
      <c r="AJ43" s="16"/>
      <c r="AO43" s="16"/>
      <c r="AT43" s="16"/>
      <c r="AU43" s="11"/>
      <c r="AY43" s="16"/>
      <c r="BD43" s="16"/>
    </row>
    <row r="44" spans="2:56" x14ac:dyDescent="0.25">
      <c r="B44" s="11"/>
      <c r="G44" s="11"/>
      <c r="K44" s="16"/>
      <c r="V44" s="11"/>
      <c r="Z44" s="16"/>
      <c r="AE44" s="16"/>
      <c r="AJ44" s="16"/>
      <c r="AO44" s="16"/>
      <c r="AT44" s="16"/>
      <c r="AU44" s="11"/>
      <c r="AY44" s="16"/>
      <c r="BD44" s="16"/>
    </row>
    <row r="45" spans="2:56" x14ac:dyDescent="0.25">
      <c r="B45" s="11"/>
      <c r="G45" s="11"/>
      <c r="K45" s="16"/>
      <c r="V45" s="11"/>
      <c r="Z45" s="16"/>
      <c r="AE45" s="16"/>
      <c r="AJ45" s="16"/>
      <c r="AO45" s="16"/>
      <c r="AT45" s="16"/>
      <c r="AU45" s="11"/>
      <c r="AY45" s="16"/>
      <c r="BD45" s="16"/>
    </row>
    <row r="46" spans="2:56" x14ac:dyDescent="0.25">
      <c r="B46" s="11"/>
      <c r="G46" s="11"/>
      <c r="K46" s="16"/>
      <c r="V46" s="11"/>
      <c r="Z46" s="16"/>
      <c r="AE46" s="16"/>
      <c r="AJ46" s="16"/>
      <c r="AO46" s="16"/>
      <c r="AT46" s="16"/>
      <c r="AU46" s="11"/>
      <c r="AY46" s="16"/>
      <c r="BD46" s="16"/>
    </row>
    <row r="47" spans="2:56" x14ac:dyDescent="0.25">
      <c r="B47" s="11"/>
      <c r="G47" s="11"/>
      <c r="K47" s="16"/>
      <c r="V47" s="11"/>
      <c r="Z47" s="16"/>
      <c r="AE47" s="16"/>
      <c r="AJ47" s="16"/>
      <c r="AO47" s="16"/>
      <c r="AT47" s="16"/>
      <c r="AU47" s="11"/>
      <c r="AY47" s="16"/>
      <c r="BD47" s="16"/>
    </row>
    <row r="48" spans="2:56" x14ac:dyDescent="0.25">
      <c r="B48" s="11"/>
      <c r="G48" s="11"/>
      <c r="K48" s="16"/>
      <c r="V48" s="11"/>
      <c r="Z48" s="16"/>
      <c r="AE48" s="16"/>
      <c r="AJ48" s="16"/>
      <c r="AO48" s="16"/>
      <c r="AT48" s="16"/>
      <c r="AU48" s="11"/>
      <c r="AY48" s="16"/>
      <c r="BD48" s="16"/>
    </row>
    <row r="49" spans="2:56" x14ac:dyDescent="0.25">
      <c r="B49" s="11"/>
      <c r="G49" s="11"/>
      <c r="K49" s="16"/>
      <c r="V49" s="11"/>
      <c r="Z49" s="16"/>
      <c r="AE49" s="16"/>
      <c r="AJ49" s="16"/>
      <c r="AO49" s="16"/>
      <c r="AT49" s="16"/>
      <c r="AU49" s="11"/>
      <c r="AY49" s="16"/>
      <c r="BD49" s="16"/>
    </row>
    <row r="50" spans="2:56" x14ac:dyDescent="0.25">
      <c r="B50" s="11"/>
      <c r="G50" s="11"/>
      <c r="K50" s="16"/>
      <c r="V50" s="11"/>
      <c r="Z50" s="16"/>
      <c r="AE50" s="16"/>
      <c r="AJ50" s="16"/>
      <c r="AO50" s="16"/>
      <c r="AT50" s="16"/>
      <c r="AU50" s="11"/>
      <c r="AY50" s="16"/>
      <c r="BD50" s="16"/>
    </row>
    <row r="51" spans="2:56" x14ac:dyDescent="0.25">
      <c r="B51" s="11"/>
      <c r="G51" s="11"/>
      <c r="K51" s="16"/>
      <c r="V51" s="11"/>
      <c r="Z51" s="16"/>
      <c r="AE51" s="16"/>
      <c r="AJ51" s="16"/>
      <c r="AO51" s="16"/>
      <c r="AT51" s="16"/>
      <c r="AU51" s="11"/>
      <c r="AY51" s="16"/>
      <c r="BD51" s="16"/>
    </row>
    <row r="52" spans="2:56" x14ac:dyDescent="0.25">
      <c r="B52" s="11"/>
      <c r="G52" s="11"/>
      <c r="K52" s="16"/>
      <c r="V52" s="11"/>
      <c r="Z52" s="16"/>
      <c r="AE52" s="16"/>
      <c r="AJ52" s="16"/>
      <c r="AO52" s="16"/>
      <c r="AT52" s="16"/>
      <c r="AU52" s="11"/>
      <c r="AY52" s="16"/>
      <c r="BD52" s="16"/>
    </row>
    <row r="53" spans="2:56" x14ac:dyDescent="0.25">
      <c r="B53" s="11"/>
      <c r="G53" s="11"/>
      <c r="K53" s="16"/>
      <c r="V53" s="11"/>
      <c r="Z53" s="16"/>
      <c r="AE53" s="16"/>
      <c r="AJ53" s="16"/>
      <c r="AO53" s="16"/>
      <c r="AT53" s="16"/>
      <c r="AU53" s="11"/>
      <c r="AY53" s="16"/>
      <c r="BD53" s="16"/>
    </row>
    <row r="54" spans="2:56" x14ac:dyDescent="0.25">
      <c r="B54" s="11"/>
      <c r="G54" s="11"/>
      <c r="K54" s="16"/>
      <c r="V54" s="11"/>
      <c r="Z54" s="16"/>
      <c r="AE54" s="16"/>
      <c r="AJ54" s="16"/>
      <c r="AO54" s="16"/>
      <c r="AT54" s="16"/>
      <c r="AU54" s="11"/>
      <c r="AY54" s="16"/>
      <c r="BD54" s="16"/>
    </row>
    <row r="55" spans="2:56" x14ac:dyDescent="0.25">
      <c r="B55" s="11"/>
      <c r="G55" s="11"/>
      <c r="K55" s="16"/>
      <c r="V55" s="11"/>
      <c r="Z55" s="16"/>
      <c r="AE55" s="16"/>
      <c r="AJ55" s="16"/>
      <c r="AO55" s="16"/>
      <c r="AT55" s="16"/>
      <c r="AU55" s="11"/>
      <c r="AY55" s="16"/>
      <c r="BD55" s="16"/>
    </row>
    <row r="56" spans="2:56" x14ac:dyDescent="0.25">
      <c r="B56" s="11"/>
      <c r="G56" s="11"/>
      <c r="K56" s="16"/>
      <c r="V56" s="11"/>
      <c r="Z56" s="16"/>
      <c r="AE56" s="16"/>
      <c r="AJ56" s="16"/>
      <c r="AO56" s="16"/>
      <c r="AT56" s="16"/>
      <c r="AU56" s="11"/>
      <c r="AY56" s="16"/>
      <c r="BD56" s="16"/>
    </row>
    <row r="57" spans="2:56" x14ac:dyDescent="0.25">
      <c r="B57" s="11"/>
      <c r="G57" s="11"/>
      <c r="K57" s="16"/>
      <c r="V57" s="11"/>
      <c r="Z57" s="16"/>
      <c r="AE57" s="16"/>
      <c r="AJ57" s="16"/>
      <c r="AO57" s="16"/>
      <c r="AT57" s="16"/>
      <c r="AU57" s="11"/>
      <c r="AY57" s="16"/>
      <c r="BD57" s="16"/>
    </row>
    <row r="58" spans="2:56" x14ac:dyDescent="0.25">
      <c r="B58" s="11"/>
      <c r="G58" s="11"/>
      <c r="K58" s="16"/>
      <c r="V58" s="11"/>
      <c r="Z58" s="16"/>
      <c r="AE58" s="16"/>
      <c r="AJ58" s="16"/>
      <c r="AO58" s="16"/>
      <c r="AT58" s="16"/>
      <c r="AU58" s="11"/>
      <c r="AY58" s="16"/>
      <c r="BD58" s="16"/>
    </row>
    <row r="59" spans="2:56" x14ac:dyDescent="0.25">
      <c r="B59" s="11"/>
      <c r="G59" s="11"/>
      <c r="K59" s="16"/>
      <c r="V59" s="11"/>
      <c r="Z59" s="16"/>
      <c r="AE59" s="16"/>
      <c r="AJ59" s="16"/>
      <c r="AO59" s="16"/>
      <c r="AT59" s="16"/>
      <c r="AU59" s="11"/>
      <c r="AY59" s="16"/>
      <c r="BD59" s="16"/>
    </row>
    <row r="60" spans="2:56" x14ac:dyDescent="0.25">
      <c r="B60" s="11"/>
      <c r="G60" s="11"/>
      <c r="K60" s="16"/>
      <c r="V60" s="11"/>
      <c r="Z60" s="16"/>
      <c r="AE60" s="16"/>
      <c r="AJ60" s="16"/>
      <c r="AO60" s="16"/>
      <c r="AT60" s="16"/>
      <c r="AU60" s="11"/>
      <c r="AY60" s="16"/>
      <c r="BD60" s="16"/>
    </row>
    <row r="61" spans="2:56" x14ac:dyDescent="0.25">
      <c r="B61" s="11"/>
      <c r="G61" s="11"/>
      <c r="K61" s="16"/>
      <c r="V61" s="11"/>
      <c r="Z61" s="16"/>
      <c r="AE61" s="16"/>
      <c r="AJ61" s="16"/>
      <c r="AO61" s="16"/>
      <c r="AT61" s="16"/>
      <c r="AU61" s="11"/>
      <c r="AY61" s="16"/>
      <c r="BD61" s="16"/>
    </row>
    <row r="62" spans="2:56" x14ac:dyDescent="0.25">
      <c r="B62" s="11"/>
      <c r="G62" s="11"/>
      <c r="K62" s="16"/>
      <c r="V62" s="11"/>
      <c r="Z62" s="16"/>
      <c r="AE62" s="16"/>
      <c r="AJ62" s="16"/>
      <c r="AO62" s="16"/>
      <c r="AT62" s="16"/>
      <c r="AU62" s="11"/>
      <c r="AY62" s="16"/>
      <c r="BD62" s="16"/>
    </row>
    <row r="63" spans="2:56" x14ac:dyDescent="0.25">
      <c r="B63" s="11"/>
      <c r="G63" s="11"/>
      <c r="K63" s="16"/>
      <c r="V63" s="11"/>
      <c r="Z63" s="16"/>
      <c r="AE63" s="16"/>
      <c r="AJ63" s="16"/>
      <c r="AO63" s="16"/>
      <c r="AT63" s="16"/>
      <c r="AU63" s="11"/>
      <c r="AY63" s="16"/>
      <c r="BD63" s="16"/>
    </row>
    <row r="64" spans="2:56" x14ac:dyDescent="0.25">
      <c r="B64" s="11"/>
      <c r="G64" s="11"/>
      <c r="K64" s="16"/>
      <c r="V64" s="11"/>
      <c r="Z64" s="16"/>
      <c r="AE64" s="16"/>
      <c r="AJ64" s="16"/>
      <c r="AO64" s="16"/>
      <c r="AT64" s="16"/>
      <c r="AU64" s="11"/>
      <c r="AY64" s="16"/>
      <c r="BD64" s="16"/>
    </row>
    <row r="65" spans="2:56" x14ac:dyDescent="0.25">
      <c r="B65" s="11"/>
      <c r="G65" s="11"/>
      <c r="K65" s="16"/>
      <c r="V65" s="11"/>
      <c r="Z65" s="16"/>
      <c r="AE65" s="16"/>
      <c r="AJ65" s="16"/>
      <c r="AO65" s="16"/>
      <c r="AT65" s="16"/>
      <c r="AU65" s="11"/>
      <c r="AY65" s="16"/>
      <c r="BD65" s="16"/>
    </row>
    <row r="66" spans="2:56" x14ac:dyDescent="0.25">
      <c r="B66" s="11"/>
      <c r="G66" s="11"/>
      <c r="K66" s="16"/>
      <c r="V66" s="11"/>
      <c r="Z66" s="16"/>
      <c r="AE66" s="16"/>
      <c r="AJ66" s="16"/>
      <c r="AO66" s="16"/>
      <c r="AT66" s="16"/>
      <c r="AU66" s="11"/>
      <c r="AY66" s="16"/>
      <c r="BD66" s="16"/>
    </row>
    <row r="67" spans="2:56" x14ac:dyDescent="0.25">
      <c r="B67" s="11"/>
      <c r="G67" s="11"/>
      <c r="K67" s="16"/>
      <c r="V67" s="11"/>
      <c r="Z67" s="16"/>
      <c r="AE67" s="16"/>
      <c r="AJ67" s="16"/>
      <c r="AO67" s="16"/>
      <c r="AT67" s="16"/>
      <c r="AU67" s="11"/>
      <c r="AY67" s="16"/>
      <c r="BD67" s="16"/>
    </row>
    <row r="68" spans="2:56" x14ac:dyDescent="0.25">
      <c r="B68" s="11"/>
      <c r="G68" s="11"/>
      <c r="K68" s="16"/>
      <c r="V68" s="11"/>
      <c r="Z68" s="16"/>
      <c r="AE68" s="16"/>
      <c r="AJ68" s="16"/>
      <c r="AO68" s="16"/>
      <c r="AT68" s="16"/>
      <c r="AU68" s="11"/>
      <c r="AY68" s="16"/>
      <c r="BD68" s="16"/>
    </row>
    <row r="69" spans="2:56" x14ac:dyDescent="0.25">
      <c r="B69" s="11"/>
      <c r="G69" s="11"/>
      <c r="K69" s="16"/>
      <c r="V69" s="11"/>
      <c r="Z69" s="16"/>
      <c r="AE69" s="16"/>
      <c r="AJ69" s="16"/>
      <c r="AO69" s="16"/>
      <c r="AT69" s="16"/>
      <c r="AU69" s="11"/>
      <c r="AY69" s="16"/>
      <c r="BD69" s="16"/>
    </row>
    <row r="70" spans="2:56" x14ac:dyDescent="0.25">
      <c r="B70" s="11"/>
      <c r="G70" s="11"/>
      <c r="K70" s="16"/>
      <c r="V70" s="11"/>
      <c r="Z70" s="16"/>
      <c r="AE70" s="16"/>
      <c r="AJ70" s="16"/>
      <c r="AO70" s="16"/>
      <c r="AT70" s="16"/>
      <c r="AU70" s="11"/>
      <c r="AY70" s="16"/>
      <c r="BD70" s="16"/>
    </row>
    <row r="71" spans="2:56" x14ac:dyDescent="0.25">
      <c r="B71" s="11"/>
      <c r="G71" s="11"/>
      <c r="K71" s="16"/>
      <c r="V71" s="11"/>
      <c r="Z71" s="16"/>
      <c r="AE71" s="16"/>
      <c r="AJ71" s="16"/>
      <c r="AO71" s="16"/>
      <c r="AT71" s="16"/>
      <c r="AU71" s="11"/>
      <c r="AY71" s="16"/>
      <c r="BD71" s="16"/>
    </row>
    <row r="72" spans="2:56" x14ac:dyDescent="0.25">
      <c r="B72" s="11"/>
      <c r="G72" s="11"/>
      <c r="K72" s="16"/>
      <c r="V72" s="11"/>
      <c r="Z72" s="16"/>
      <c r="AE72" s="16"/>
      <c r="AJ72" s="16"/>
      <c r="AO72" s="16"/>
      <c r="AT72" s="16"/>
      <c r="AU72" s="11"/>
      <c r="AY72" s="16"/>
      <c r="BD72" s="16"/>
    </row>
    <row r="73" spans="2:56" x14ac:dyDescent="0.25">
      <c r="B73" s="11"/>
      <c r="G73" s="11"/>
      <c r="K73" s="16"/>
      <c r="V73" s="11"/>
      <c r="Z73" s="16"/>
      <c r="AE73" s="16"/>
      <c r="AJ73" s="16"/>
      <c r="AO73" s="16"/>
      <c r="AT73" s="16"/>
      <c r="AU73" s="11"/>
      <c r="AY73" s="16"/>
      <c r="BD73" s="16"/>
    </row>
  </sheetData>
  <conditionalFormatting sqref="AA10:AE10">
    <cfRule type="cellIs" dxfId="103" priority="123" operator="lessThan">
      <formula>$BI10</formula>
    </cfRule>
    <cfRule type="cellIs" dxfId="102" priority="124" operator="greaterThan">
      <formula>$BJ10</formula>
    </cfRule>
  </conditionalFormatting>
  <conditionalFormatting sqref="AA9:AE9">
    <cfRule type="cellIs" dxfId="101" priority="125" operator="lessThan">
      <formula>$BI9</formula>
    </cfRule>
    <cfRule type="cellIs" dxfId="100" priority="126" operator="greaterThan">
      <formula>$BJ9</formula>
    </cfRule>
  </conditionalFormatting>
  <conditionalFormatting sqref="AA12:AE12">
    <cfRule type="cellIs" dxfId="99" priority="53" operator="lessThan">
      <formula>$BI12</formula>
    </cfRule>
    <cfRule type="cellIs" dxfId="98" priority="54" operator="greaterThan">
      <formula>$BJ12</formula>
    </cfRule>
  </conditionalFormatting>
  <conditionalFormatting sqref="AA11:AE11">
    <cfRule type="cellIs" dxfId="97" priority="55" operator="lessThan">
      <formula>$BI11</formula>
    </cfRule>
    <cfRule type="cellIs" dxfId="96" priority="56" operator="greaterThan">
      <formula>$BJ11</formula>
    </cfRule>
  </conditionalFormatting>
  <conditionalFormatting sqref="AA14:AE14">
    <cfRule type="cellIs" dxfId="95" priority="49" operator="lessThan">
      <formula>$BI14</formula>
    </cfRule>
    <cfRule type="cellIs" dxfId="94" priority="50" operator="greaterThan">
      <formula>$BJ14</formula>
    </cfRule>
  </conditionalFormatting>
  <conditionalFormatting sqref="AA13:AE13">
    <cfRule type="cellIs" dxfId="93" priority="51" operator="lessThan">
      <formula>$BI13</formula>
    </cfRule>
    <cfRule type="cellIs" dxfId="92" priority="52" operator="greaterThan">
      <formula>$BJ13</formula>
    </cfRule>
  </conditionalFormatting>
  <conditionalFormatting sqref="V9:Z9">
    <cfRule type="cellIs" dxfId="91" priority="48" operator="greaterThan">
      <formula>$BH9</formula>
    </cfRule>
    <cfRule type="cellIs" dxfId="90" priority="47" operator="lessThan">
      <formula>$BG9</formula>
    </cfRule>
  </conditionalFormatting>
  <conditionalFormatting sqref="V10:Z10">
    <cfRule type="cellIs" dxfId="89" priority="46" operator="greaterThan">
      <formula>$BH10</formula>
    </cfRule>
    <cfRule type="cellIs" dxfId="88" priority="45" operator="lessThan">
      <formula>$BG10</formula>
    </cfRule>
  </conditionalFormatting>
  <conditionalFormatting sqref="V11:Z11">
    <cfRule type="cellIs" dxfId="87" priority="43" operator="lessThan">
      <formula>$BG11</formula>
    </cfRule>
    <cfRule type="cellIs" dxfId="86" priority="44" operator="greaterThan">
      <formula>$BH11</formula>
    </cfRule>
  </conditionalFormatting>
  <conditionalFormatting sqref="V12:Z12">
    <cfRule type="cellIs" dxfId="85" priority="41" operator="lessThan">
      <formula>$BG12</formula>
    </cfRule>
    <cfRule type="cellIs" dxfId="84" priority="42" operator="greaterThan">
      <formula>$BH12</formula>
    </cfRule>
  </conditionalFormatting>
  <conditionalFormatting sqref="V13:Z13">
    <cfRule type="cellIs" dxfId="83" priority="39" operator="lessThan">
      <formula>$BG13</formula>
    </cfRule>
    <cfRule type="cellIs" dxfId="82" priority="40" operator="greaterThan">
      <formula>$BH13</formula>
    </cfRule>
  </conditionalFormatting>
  <conditionalFormatting sqref="V14:Z14">
    <cfRule type="cellIs" dxfId="81" priority="37" operator="lessThan">
      <formula>$BG14</formula>
    </cfRule>
    <cfRule type="cellIs" dxfId="80" priority="38" operator="greaterThan">
      <formula>$BH14</formula>
    </cfRule>
  </conditionalFormatting>
  <conditionalFormatting sqref="AU9:AY9">
    <cfRule type="cellIs" dxfId="79" priority="36" operator="greaterThan">
      <formula>$BH9</formula>
    </cfRule>
    <cfRule type="cellIs" dxfId="78" priority="35" operator="lessThan">
      <formula>$BG9</formula>
    </cfRule>
  </conditionalFormatting>
  <conditionalFormatting sqref="AU10:AY10">
    <cfRule type="cellIs" dxfId="56" priority="34" operator="greaterThan">
      <formula>$BH10</formula>
    </cfRule>
    <cfRule type="cellIs" dxfId="57" priority="33" operator="lessThan">
      <formula>$BG10</formula>
    </cfRule>
  </conditionalFormatting>
  <conditionalFormatting sqref="AZ9:BD9">
    <cfRule type="cellIs" dxfId="69" priority="20" operator="greaterThan">
      <formula>$BJ9</formula>
    </cfRule>
    <cfRule type="cellIs" dxfId="68" priority="19" operator="lessThan">
      <formula>$BI9</formula>
    </cfRule>
  </conditionalFormatting>
  <conditionalFormatting sqref="AZ10:BD10">
    <cfRule type="cellIs" dxfId="67" priority="18" operator="greaterThan">
      <formula>$BJ10</formula>
    </cfRule>
    <cfRule type="cellIs" dxfId="66" priority="17" operator="lessThan">
      <formula>$BI10</formula>
    </cfRule>
  </conditionalFormatting>
  <conditionalFormatting sqref="AZ11:BD11">
    <cfRule type="cellIs" dxfId="65" priority="15" operator="lessThan">
      <formula>$BI11</formula>
    </cfRule>
    <cfRule type="cellIs" dxfId="64" priority="16" operator="greaterThan">
      <formula>$BJ11</formula>
    </cfRule>
  </conditionalFormatting>
  <conditionalFormatting sqref="AZ12:BD12">
    <cfRule type="cellIs" dxfId="63" priority="13" operator="lessThan">
      <formula>$BI12</formula>
    </cfRule>
    <cfRule type="cellIs" dxfId="62" priority="14" operator="greaterThan">
      <formula>$BJ12</formula>
    </cfRule>
  </conditionalFormatting>
  <conditionalFormatting sqref="AZ13:BD13">
    <cfRule type="cellIs" dxfId="61" priority="11" operator="lessThan">
      <formula>$BI13</formula>
    </cfRule>
    <cfRule type="cellIs" dxfId="60" priority="12" operator="greaterThan">
      <formula>$BJ13</formula>
    </cfRule>
  </conditionalFormatting>
  <conditionalFormatting sqref="AZ14:BD14">
    <cfRule type="cellIs" dxfId="59" priority="9" operator="lessThan">
      <formula>$BI14</formula>
    </cfRule>
    <cfRule type="cellIs" dxfId="58" priority="10" operator="greaterThan">
      <formula>$BJ14</formula>
    </cfRule>
  </conditionalFormatting>
  <conditionalFormatting sqref="AU11:AY11">
    <cfRule type="cellIs" dxfId="6" priority="7" operator="lessThan">
      <formula>$BG11</formula>
    </cfRule>
    <cfRule type="cellIs" dxfId="7" priority="8" operator="greaterThan">
      <formula>$BH11</formula>
    </cfRule>
  </conditionalFormatting>
  <conditionalFormatting sqref="AU12:AY12">
    <cfRule type="cellIs" dxfId="4" priority="5" operator="lessThan">
      <formula>$BG12</formula>
    </cfRule>
    <cfRule type="cellIs" dxfId="5" priority="6" operator="greaterThan">
      <formula>$BH12</formula>
    </cfRule>
  </conditionalFormatting>
  <conditionalFormatting sqref="AU13:AY13">
    <cfRule type="cellIs" dxfId="3" priority="3" operator="lessThan">
      <formula>$BG13</formula>
    </cfRule>
    <cfRule type="cellIs" dxfId="2" priority="4" operator="greaterThan">
      <formula>$BH13</formula>
    </cfRule>
  </conditionalFormatting>
  <conditionalFormatting sqref="AU14:AY14">
    <cfRule type="cellIs" dxfId="1" priority="1" operator="lessThan">
      <formula>$BG14</formula>
    </cfRule>
    <cfRule type="cellIs" dxfId="0" priority="2" operator="greaterThan">
      <formula>$BH14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4C3C0-7C3F-45A8-AD78-674453D5E2E6}">
  <sheetPr codeName="Sheet2"/>
  <dimension ref="A2:B13"/>
  <sheetViews>
    <sheetView workbookViewId="0">
      <selection activeCell="A9" sqref="A9:A14"/>
    </sheetView>
  </sheetViews>
  <sheetFormatPr defaultRowHeight="15" x14ac:dyDescent="0.25"/>
  <cols>
    <col min="1" max="1" width="10.7109375" bestFit="1" customWidth="1"/>
  </cols>
  <sheetData>
    <row r="2" spans="1:2" x14ac:dyDescent="0.25">
      <c r="A2" t="s">
        <v>5</v>
      </c>
      <c r="B2">
        <v>30</v>
      </c>
    </row>
    <row r="3" spans="1:2" x14ac:dyDescent="0.25">
      <c r="A3" t="s">
        <v>11</v>
      </c>
      <c r="B3">
        <v>60</v>
      </c>
    </row>
    <row r="4" spans="1:2" x14ac:dyDescent="0.25">
      <c r="A4" t="s">
        <v>6</v>
      </c>
      <c r="B4">
        <v>90</v>
      </c>
    </row>
    <row r="5" spans="1:2" x14ac:dyDescent="0.25">
      <c r="A5" t="s">
        <v>7</v>
      </c>
      <c r="B5">
        <v>180</v>
      </c>
    </row>
    <row r="6" spans="1:2" x14ac:dyDescent="0.25">
      <c r="A6" t="s">
        <v>8</v>
      </c>
      <c r="B6">
        <v>360</v>
      </c>
    </row>
    <row r="7" spans="1:2" x14ac:dyDescent="0.25">
      <c r="A7" t="s">
        <v>9</v>
      </c>
      <c r="B7">
        <v>720</v>
      </c>
    </row>
    <row r="10" spans="1:2" x14ac:dyDescent="0.25">
      <c r="A10" s="36"/>
    </row>
    <row r="13" spans="1:2" x14ac:dyDescent="0.25">
      <c r="A13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VolScreen</vt:lpstr>
      <vt:lpstr>Setting</vt:lpstr>
      <vt:lpstr>RngRefresh</vt:lpstr>
      <vt:lpstr>RngTable</vt:lpstr>
      <vt:lpstr>RngTableDates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2023-11-05T09:23:31Z</dcterms:created>
  <dcterms:modified xsi:type="dcterms:W3CDTF">2023-11-12T08:09:50Z</dcterms:modified>
</cp:coreProperties>
</file>